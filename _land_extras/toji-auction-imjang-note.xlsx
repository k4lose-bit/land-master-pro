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건목록" sheetId="1" state="visible" r:id="rId1"/>
    <sheet xmlns:r="http://schemas.openxmlformats.org/officeDocument/2006/relationships" name="안내" sheetId="2" state="visible" r:id="rId2"/>
  </sheets>
  <definedNames>
    <definedName name="_xlnm._FilterDatabase" localSheetId="0" hidden="1">'물건목록'!$A$1:$AJ$301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0B7A55"/>
      </patternFill>
    </fill>
    <fill>
      <patternFill patternType="solid">
        <fgColor rgb="00FFF9DB"/>
      </patternFill>
    </fill>
    <fill>
      <patternFill patternType="solid">
        <fgColor rgb="00E6F2EC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3" fontId="0" fillId="4" borderId="1" applyProtection="1" pivotButton="0" quotePrefix="0" xfId="0">
      <protection locked="0" hidden="0"/>
    </xf>
    <xf numFmtId="0" fontId="0" fillId="5" borderId="1" pivotButton="0" quotePrefix="0" xfId="0"/>
    <xf numFmtId="3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3" customWidth="1" min="16" max="16"/>
    <col width="16" customWidth="1" min="17" max="17"/>
    <col width="16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34" customWidth="1" min="25" max="25"/>
    <col width="13" customWidth="1" min="26" max="26"/>
    <col width="13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3" customWidth="1" min="36" max="36"/>
  </cols>
  <sheetData>
    <row r="1" ht="42" customHeight="1">
      <c r="A1" s="1" t="inlineStr">
        <is>
          <t>사건번호</t>
        </is>
      </c>
      <c r="B1" s="1" t="inlineStr">
        <is>
          <t>소재지</t>
        </is>
      </c>
      <c r="C1" s="1" t="inlineStr">
        <is>
          <t>방문일</t>
        </is>
      </c>
      <c r="D1" s="1" t="inlineStr">
        <is>
          <t>지목</t>
        </is>
      </c>
      <c r="E1" s="1" t="inlineStr">
        <is>
          <t>토지구분</t>
        </is>
      </c>
      <c r="F1" s="1" t="inlineStr">
        <is>
          <t>면적(㎡)</t>
        </is>
      </c>
      <c r="G1" s="1" t="inlineStr">
        <is>
          <t>감정가(원)</t>
        </is>
      </c>
      <c r="H1" s="1" t="inlineStr">
        <is>
          <t>최저매각가(원)</t>
        </is>
      </c>
      <c r="I1" s="1" t="inlineStr">
        <is>
          <t>입찰예정가(원)</t>
        </is>
      </c>
      <c r="J1" s="1" t="inlineStr">
        <is>
          <t>주변시세 평당(원)</t>
        </is>
      </c>
      <c r="K1" s="1" t="inlineStr">
        <is>
          <t>법무·등기비(원)</t>
        </is>
      </c>
      <c r="L1" s="1" t="inlineStr">
        <is>
          <t>명도·철거비(원)</t>
        </is>
      </c>
      <c r="M1" s="1" t="inlineStr">
        <is>
          <t>개발비(원)</t>
        </is>
      </c>
      <c r="N1" s="1" t="inlineStr">
        <is>
          <t>대출금(원)</t>
        </is>
      </c>
      <c r="O1" s="1" t="inlineStr">
        <is>
          <t>대출금리(연%)</t>
        </is>
      </c>
      <c r="P1" s="1" t="inlineStr">
        <is>
          <t>보유개월</t>
        </is>
      </c>
      <c r="Q1" s="1" t="inlineStr">
        <is>
          <t>기타비용(원)</t>
        </is>
      </c>
      <c r="R1" s="1" t="inlineStr">
        <is>
          <t>목표매도가(원)</t>
        </is>
      </c>
      <c r="S1" s="1" t="inlineStr">
        <is>
          <t>중개보수율(%)</t>
        </is>
      </c>
      <c r="T1" s="1" t="inlineStr">
        <is>
          <t>취득세율 직접입력(%)</t>
        </is>
      </c>
      <c r="U1" s="1" t="inlineStr">
        <is>
          <t>농특세율 직접입력(%)</t>
        </is>
      </c>
      <c r="V1" s="1" t="inlineStr">
        <is>
          <t>교육세율 직접입력(%)</t>
        </is>
      </c>
      <c r="W1" s="1" t="inlineStr">
        <is>
          <t>위험신호 수</t>
        </is>
      </c>
      <c r="X1" s="1" t="inlineStr">
        <is>
          <t>판단</t>
        </is>
      </c>
      <c r="Y1" s="1" t="inlineStr">
        <is>
          <t>메모</t>
        </is>
      </c>
      <c r="Z1" s="2" t="inlineStr">
        <is>
          <t>면적(평)</t>
        </is>
      </c>
      <c r="AA1" s="2" t="inlineStr">
        <is>
          <t>감정가 대비 입찰가(%)</t>
        </is>
      </c>
      <c r="AB1" s="2" t="inlineStr">
        <is>
          <t>입찰가 평당(원)</t>
        </is>
      </c>
      <c r="AC1" s="2" t="inlineStr">
        <is>
          <t>취득세(원)</t>
        </is>
      </c>
      <c r="AD1" s="2" t="inlineStr">
        <is>
          <t>농어촌특별세(원)</t>
        </is>
      </c>
      <c r="AE1" s="2" t="inlineStr">
        <is>
          <t>지방교육세(원)</t>
        </is>
      </c>
      <c r="AF1" s="2" t="inlineStr">
        <is>
          <t>대출이자(원)</t>
        </is>
      </c>
      <c r="AG1" s="2" t="inlineStr">
        <is>
          <t>총 취득원가(원)</t>
        </is>
      </c>
      <c r="AH1" s="2" t="inlineStr">
        <is>
          <t>매도 중개보수(원)</t>
        </is>
      </c>
      <c r="AI1" s="2" t="inlineStr">
        <is>
          <t>세전 차익(원)</t>
        </is>
      </c>
      <c r="AJ1" s="2" t="inlineStr">
        <is>
          <t>세전 수익률(%)</t>
        </is>
      </c>
    </row>
    <row r="2">
      <c r="A2" s="3" t="n"/>
      <c r="B2" s="3" t="n"/>
      <c r="C2" s="4" t="n"/>
      <c r="D2" s="3" t="n"/>
      <c r="E2" s="3" t="n"/>
      <c r="F2" s="3" t="n"/>
      <c r="G2" s="5" t="n"/>
      <c r="H2" s="5" t="n"/>
      <c r="I2" s="5" t="n"/>
      <c r="J2" s="5" t="n"/>
      <c r="K2" s="5" t="n"/>
      <c r="L2" s="5" t="n"/>
      <c r="M2" s="5" t="n"/>
      <c r="N2" s="5" t="n"/>
      <c r="O2" s="3" t="n"/>
      <c r="P2" s="3" t="n"/>
      <c r="Q2" s="5" t="n"/>
      <c r="R2" s="5" t="n"/>
      <c r="S2" s="3" t="n"/>
      <c r="T2" s="3" t="n"/>
      <c r="U2" s="3" t="n"/>
      <c r="V2" s="3" t="n"/>
      <c r="W2" s="3" t="n"/>
      <c r="X2" s="3" t="n"/>
      <c r="Y2" s="3" t="n"/>
      <c r="Z2" s="6">
        <f>IF(F2="","",ROUND(F2/3.305785,1))</f>
        <v/>
      </c>
      <c r="AA2" s="6">
        <f>IF(OR(G2="",I2=""),"",ROUND(I2/G2*100,1))</f>
        <v/>
      </c>
      <c r="AB2" s="7">
        <f>IF(OR(Z2="",I2=""),"",ROUND(I2/Z2,0))</f>
        <v/>
      </c>
      <c r="AC2" s="7">
        <f>IF(I2="","",FLOOR(I2*IF(T2&lt;&gt;"",T2,IF(E2="농지",3,4))/100,10))</f>
        <v/>
      </c>
      <c r="AD2" s="7">
        <f>IF(I2="","",FLOOR(I2*IF(T2&lt;&gt;"",N(U2),0.2)/100,10))</f>
        <v/>
      </c>
      <c r="AE2" s="7">
        <f>IF(I2="","",FLOOR(I2*IF(T2&lt;&gt;"",N(V2),(IF(E2="농지",3,4)-2)*0.2)/100,10))</f>
        <v/>
      </c>
      <c r="AF2" s="7">
        <f>IF(N2="","",ROUND(N2*N(O2)/100*N(P2)/12,0))</f>
        <v/>
      </c>
      <c r="AG2" s="7">
        <f>IF(I2="","",I2+AC2+AD2+AE2+N(K2)+N(L2)+N(M2)+N(Q2)+N(AF2))</f>
        <v/>
      </c>
      <c r="AH2" s="7">
        <f>IF(OR(R2="",S2=""),"",ROUND(R2*S2/100,0))</f>
        <v/>
      </c>
      <c r="AI2" s="7">
        <f>IF(OR(AG2="",R2=""),"",R2-N(AH2)-AG2)</f>
        <v/>
      </c>
      <c r="AJ2" s="6">
        <f>IF(AI2="","",ROUND(AI2/AG2*100,1))</f>
        <v/>
      </c>
    </row>
    <row r="3">
      <c r="A3" s="3" t="n"/>
      <c r="B3" s="3" t="n"/>
      <c r="C3" s="4" t="n"/>
      <c r="D3" s="3" t="n"/>
      <c r="E3" s="3" t="n"/>
      <c r="F3" s="3" t="n"/>
      <c r="G3" s="5" t="n"/>
      <c r="H3" s="5" t="n"/>
      <c r="I3" s="5" t="n"/>
      <c r="J3" s="5" t="n"/>
      <c r="K3" s="5" t="n"/>
      <c r="L3" s="5" t="n"/>
      <c r="M3" s="5" t="n"/>
      <c r="N3" s="5" t="n"/>
      <c r="O3" s="3" t="n"/>
      <c r="P3" s="3" t="n"/>
      <c r="Q3" s="5" t="n"/>
      <c r="R3" s="5" t="n"/>
      <c r="S3" s="3" t="n"/>
      <c r="T3" s="3" t="n"/>
      <c r="U3" s="3" t="n"/>
      <c r="V3" s="3" t="n"/>
      <c r="W3" s="3" t="n"/>
      <c r="X3" s="3" t="n"/>
      <c r="Y3" s="3" t="n"/>
      <c r="Z3" s="6">
        <f>IF(F3="","",ROUND(F3/3.305785,1))</f>
        <v/>
      </c>
      <c r="AA3" s="6">
        <f>IF(OR(G3="",I3=""),"",ROUND(I3/G3*100,1))</f>
        <v/>
      </c>
      <c r="AB3" s="7">
        <f>IF(OR(Z3="",I3=""),"",ROUND(I3/Z3,0))</f>
        <v/>
      </c>
      <c r="AC3" s="7">
        <f>IF(I3="","",FLOOR(I3*IF(T3&lt;&gt;"",T3,IF(E3="농지",3,4))/100,10))</f>
        <v/>
      </c>
      <c r="AD3" s="7">
        <f>IF(I3="","",FLOOR(I3*IF(T3&lt;&gt;"",N(U3),0.2)/100,10))</f>
        <v/>
      </c>
      <c r="AE3" s="7">
        <f>IF(I3="","",FLOOR(I3*IF(T3&lt;&gt;"",N(V3),(IF(E3="농지",3,4)-2)*0.2)/100,10))</f>
        <v/>
      </c>
      <c r="AF3" s="7">
        <f>IF(N3="","",ROUND(N3*N(O3)/100*N(P3)/12,0))</f>
        <v/>
      </c>
      <c r="AG3" s="7">
        <f>IF(I3="","",I3+AC3+AD3+AE3+N(K3)+N(L3)+N(M3)+N(Q3)+N(AF3))</f>
        <v/>
      </c>
      <c r="AH3" s="7">
        <f>IF(OR(R3="",S3=""),"",ROUND(R3*S3/100,0))</f>
        <v/>
      </c>
      <c r="AI3" s="7">
        <f>IF(OR(AG3="",R3=""),"",R3-N(AH3)-AG3)</f>
        <v/>
      </c>
      <c r="AJ3" s="6">
        <f>IF(AI3="","",ROUND(AI3/AG3*100,1))</f>
        <v/>
      </c>
    </row>
    <row r="4">
      <c r="A4" s="3" t="n"/>
      <c r="B4" s="3" t="n"/>
      <c r="C4" s="4" t="n"/>
      <c r="D4" s="3" t="n"/>
      <c r="E4" s="3" t="n"/>
      <c r="F4" s="3" t="n"/>
      <c r="G4" s="5" t="n"/>
      <c r="H4" s="5" t="n"/>
      <c r="I4" s="5" t="n"/>
      <c r="J4" s="5" t="n"/>
      <c r="K4" s="5" t="n"/>
      <c r="L4" s="5" t="n"/>
      <c r="M4" s="5" t="n"/>
      <c r="N4" s="5" t="n"/>
      <c r="O4" s="3" t="n"/>
      <c r="P4" s="3" t="n"/>
      <c r="Q4" s="5" t="n"/>
      <c r="R4" s="5" t="n"/>
      <c r="S4" s="3" t="n"/>
      <c r="T4" s="3" t="n"/>
      <c r="U4" s="3" t="n"/>
      <c r="V4" s="3" t="n"/>
      <c r="W4" s="3" t="n"/>
      <c r="X4" s="3" t="n"/>
      <c r="Y4" s="3" t="n"/>
      <c r="Z4" s="6">
        <f>IF(F4="","",ROUND(F4/3.305785,1))</f>
        <v/>
      </c>
      <c r="AA4" s="6">
        <f>IF(OR(G4="",I4=""),"",ROUND(I4/G4*100,1))</f>
        <v/>
      </c>
      <c r="AB4" s="7">
        <f>IF(OR(Z4="",I4=""),"",ROUND(I4/Z4,0))</f>
        <v/>
      </c>
      <c r="AC4" s="7">
        <f>IF(I4="","",FLOOR(I4*IF(T4&lt;&gt;"",T4,IF(E4="농지",3,4))/100,10))</f>
        <v/>
      </c>
      <c r="AD4" s="7">
        <f>IF(I4="","",FLOOR(I4*IF(T4&lt;&gt;"",N(U4),0.2)/100,10))</f>
        <v/>
      </c>
      <c r="AE4" s="7">
        <f>IF(I4="","",FLOOR(I4*IF(T4&lt;&gt;"",N(V4),(IF(E4="농지",3,4)-2)*0.2)/100,10))</f>
        <v/>
      </c>
      <c r="AF4" s="7">
        <f>IF(N4="","",ROUND(N4*N(O4)/100*N(P4)/12,0))</f>
        <v/>
      </c>
      <c r="AG4" s="7">
        <f>IF(I4="","",I4+AC4+AD4+AE4+N(K4)+N(L4)+N(M4)+N(Q4)+N(AF4))</f>
        <v/>
      </c>
      <c r="AH4" s="7">
        <f>IF(OR(R4="",S4=""),"",ROUND(R4*S4/100,0))</f>
        <v/>
      </c>
      <c r="AI4" s="7">
        <f>IF(OR(AG4="",R4=""),"",R4-N(AH4)-AG4)</f>
        <v/>
      </c>
      <c r="AJ4" s="6">
        <f>IF(AI4="","",ROUND(AI4/AG4*100,1))</f>
        <v/>
      </c>
    </row>
    <row r="5">
      <c r="A5" s="3" t="n"/>
      <c r="B5" s="3" t="n"/>
      <c r="C5" s="4" t="n"/>
      <c r="D5" s="3" t="n"/>
      <c r="E5" s="3" t="n"/>
      <c r="F5" s="3" t="n"/>
      <c r="G5" s="5" t="n"/>
      <c r="H5" s="5" t="n"/>
      <c r="I5" s="5" t="n"/>
      <c r="J5" s="5" t="n"/>
      <c r="K5" s="5" t="n"/>
      <c r="L5" s="5" t="n"/>
      <c r="M5" s="5" t="n"/>
      <c r="N5" s="5" t="n"/>
      <c r="O5" s="3" t="n"/>
      <c r="P5" s="3" t="n"/>
      <c r="Q5" s="5" t="n"/>
      <c r="R5" s="5" t="n"/>
      <c r="S5" s="3" t="n"/>
      <c r="T5" s="3" t="n"/>
      <c r="U5" s="3" t="n"/>
      <c r="V5" s="3" t="n"/>
      <c r="W5" s="3" t="n"/>
      <c r="X5" s="3" t="n"/>
      <c r="Y5" s="3" t="n"/>
      <c r="Z5" s="6">
        <f>IF(F5="","",ROUND(F5/3.305785,1))</f>
        <v/>
      </c>
      <c r="AA5" s="6">
        <f>IF(OR(G5="",I5=""),"",ROUND(I5/G5*100,1))</f>
        <v/>
      </c>
      <c r="AB5" s="7">
        <f>IF(OR(Z5="",I5=""),"",ROUND(I5/Z5,0))</f>
        <v/>
      </c>
      <c r="AC5" s="7">
        <f>IF(I5="","",FLOOR(I5*IF(T5&lt;&gt;"",T5,IF(E5="농지",3,4))/100,10))</f>
        <v/>
      </c>
      <c r="AD5" s="7">
        <f>IF(I5="","",FLOOR(I5*IF(T5&lt;&gt;"",N(U5),0.2)/100,10))</f>
        <v/>
      </c>
      <c r="AE5" s="7">
        <f>IF(I5="","",FLOOR(I5*IF(T5&lt;&gt;"",N(V5),(IF(E5="농지",3,4)-2)*0.2)/100,10))</f>
        <v/>
      </c>
      <c r="AF5" s="7">
        <f>IF(N5="","",ROUND(N5*N(O5)/100*N(P5)/12,0))</f>
        <v/>
      </c>
      <c r="AG5" s="7">
        <f>IF(I5="","",I5+AC5+AD5+AE5+N(K5)+N(L5)+N(M5)+N(Q5)+N(AF5))</f>
        <v/>
      </c>
      <c r="AH5" s="7">
        <f>IF(OR(R5="",S5=""),"",ROUND(R5*S5/100,0))</f>
        <v/>
      </c>
      <c r="AI5" s="7">
        <f>IF(OR(AG5="",R5=""),"",R5-N(AH5)-AG5)</f>
        <v/>
      </c>
      <c r="AJ5" s="6">
        <f>IF(AI5="","",ROUND(AI5/AG5*100,1))</f>
        <v/>
      </c>
    </row>
    <row r="6">
      <c r="A6" s="3" t="n"/>
      <c r="B6" s="3" t="n"/>
      <c r="C6" s="4" t="n"/>
      <c r="D6" s="3" t="n"/>
      <c r="E6" s="3" t="n"/>
      <c r="F6" s="3" t="n"/>
      <c r="G6" s="5" t="n"/>
      <c r="H6" s="5" t="n"/>
      <c r="I6" s="5" t="n"/>
      <c r="J6" s="5" t="n"/>
      <c r="K6" s="5" t="n"/>
      <c r="L6" s="5" t="n"/>
      <c r="M6" s="5" t="n"/>
      <c r="N6" s="5" t="n"/>
      <c r="O6" s="3" t="n"/>
      <c r="P6" s="3" t="n"/>
      <c r="Q6" s="5" t="n"/>
      <c r="R6" s="5" t="n"/>
      <c r="S6" s="3" t="n"/>
      <c r="T6" s="3" t="n"/>
      <c r="U6" s="3" t="n"/>
      <c r="V6" s="3" t="n"/>
      <c r="W6" s="3" t="n"/>
      <c r="X6" s="3" t="n"/>
      <c r="Y6" s="3" t="n"/>
      <c r="Z6" s="6">
        <f>IF(F6="","",ROUND(F6/3.305785,1))</f>
        <v/>
      </c>
      <c r="AA6" s="6">
        <f>IF(OR(G6="",I6=""),"",ROUND(I6/G6*100,1))</f>
        <v/>
      </c>
      <c r="AB6" s="7">
        <f>IF(OR(Z6="",I6=""),"",ROUND(I6/Z6,0))</f>
        <v/>
      </c>
      <c r="AC6" s="7">
        <f>IF(I6="","",FLOOR(I6*IF(T6&lt;&gt;"",T6,IF(E6="농지",3,4))/100,10))</f>
        <v/>
      </c>
      <c r="AD6" s="7">
        <f>IF(I6="","",FLOOR(I6*IF(T6&lt;&gt;"",N(U6),0.2)/100,10))</f>
        <v/>
      </c>
      <c r="AE6" s="7">
        <f>IF(I6="","",FLOOR(I6*IF(T6&lt;&gt;"",N(V6),(IF(E6="농지",3,4)-2)*0.2)/100,10))</f>
        <v/>
      </c>
      <c r="AF6" s="7">
        <f>IF(N6="","",ROUND(N6*N(O6)/100*N(P6)/12,0))</f>
        <v/>
      </c>
      <c r="AG6" s="7">
        <f>IF(I6="","",I6+AC6+AD6+AE6+N(K6)+N(L6)+N(M6)+N(Q6)+N(AF6))</f>
        <v/>
      </c>
      <c r="AH6" s="7">
        <f>IF(OR(R6="",S6=""),"",ROUND(R6*S6/100,0))</f>
        <v/>
      </c>
      <c r="AI6" s="7">
        <f>IF(OR(AG6="",R6=""),"",R6-N(AH6)-AG6)</f>
        <v/>
      </c>
      <c r="AJ6" s="6">
        <f>IF(AI6="","",ROUND(AI6/AG6*100,1))</f>
        <v/>
      </c>
    </row>
    <row r="7">
      <c r="A7" s="3" t="n"/>
      <c r="B7" s="3" t="n"/>
      <c r="C7" s="4" t="n"/>
      <c r="D7" s="3" t="n"/>
      <c r="E7" s="3" t="n"/>
      <c r="F7" s="3" t="n"/>
      <c r="G7" s="5" t="n"/>
      <c r="H7" s="5" t="n"/>
      <c r="I7" s="5" t="n"/>
      <c r="J7" s="5" t="n"/>
      <c r="K7" s="5" t="n"/>
      <c r="L7" s="5" t="n"/>
      <c r="M7" s="5" t="n"/>
      <c r="N7" s="5" t="n"/>
      <c r="O7" s="3" t="n"/>
      <c r="P7" s="3" t="n"/>
      <c r="Q7" s="5" t="n"/>
      <c r="R7" s="5" t="n"/>
      <c r="S7" s="3" t="n"/>
      <c r="T7" s="3" t="n"/>
      <c r="U7" s="3" t="n"/>
      <c r="V7" s="3" t="n"/>
      <c r="W7" s="3" t="n"/>
      <c r="X7" s="3" t="n"/>
      <c r="Y7" s="3" t="n"/>
      <c r="Z7" s="6">
        <f>IF(F7="","",ROUND(F7/3.305785,1))</f>
        <v/>
      </c>
      <c r="AA7" s="6">
        <f>IF(OR(G7="",I7=""),"",ROUND(I7/G7*100,1))</f>
        <v/>
      </c>
      <c r="AB7" s="7">
        <f>IF(OR(Z7="",I7=""),"",ROUND(I7/Z7,0))</f>
        <v/>
      </c>
      <c r="AC7" s="7">
        <f>IF(I7="","",FLOOR(I7*IF(T7&lt;&gt;"",T7,IF(E7="농지",3,4))/100,10))</f>
        <v/>
      </c>
      <c r="AD7" s="7">
        <f>IF(I7="","",FLOOR(I7*IF(T7&lt;&gt;"",N(U7),0.2)/100,10))</f>
        <v/>
      </c>
      <c r="AE7" s="7">
        <f>IF(I7="","",FLOOR(I7*IF(T7&lt;&gt;"",N(V7),(IF(E7="농지",3,4)-2)*0.2)/100,10))</f>
        <v/>
      </c>
      <c r="AF7" s="7">
        <f>IF(N7="","",ROUND(N7*N(O7)/100*N(P7)/12,0))</f>
        <v/>
      </c>
      <c r="AG7" s="7">
        <f>IF(I7="","",I7+AC7+AD7+AE7+N(K7)+N(L7)+N(M7)+N(Q7)+N(AF7))</f>
        <v/>
      </c>
      <c r="AH7" s="7">
        <f>IF(OR(R7="",S7=""),"",ROUND(R7*S7/100,0))</f>
        <v/>
      </c>
      <c r="AI7" s="7">
        <f>IF(OR(AG7="",R7=""),"",R7-N(AH7)-AG7)</f>
        <v/>
      </c>
      <c r="AJ7" s="6">
        <f>IF(AI7="","",ROUND(AI7/AG7*100,1))</f>
        <v/>
      </c>
    </row>
    <row r="8">
      <c r="A8" s="3" t="n"/>
      <c r="B8" s="3" t="n"/>
      <c r="C8" s="4" t="n"/>
      <c r="D8" s="3" t="n"/>
      <c r="E8" s="3" t="n"/>
      <c r="F8" s="3" t="n"/>
      <c r="G8" s="5" t="n"/>
      <c r="H8" s="5" t="n"/>
      <c r="I8" s="5" t="n"/>
      <c r="J8" s="5" t="n"/>
      <c r="K8" s="5" t="n"/>
      <c r="L8" s="5" t="n"/>
      <c r="M8" s="5" t="n"/>
      <c r="N8" s="5" t="n"/>
      <c r="O8" s="3" t="n"/>
      <c r="P8" s="3" t="n"/>
      <c r="Q8" s="5" t="n"/>
      <c r="R8" s="5" t="n"/>
      <c r="S8" s="3" t="n"/>
      <c r="T8" s="3" t="n"/>
      <c r="U8" s="3" t="n"/>
      <c r="V8" s="3" t="n"/>
      <c r="W8" s="3" t="n"/>
      <c r="X8" s="3" t="n"/>
      <c r="Y8" s="3" t="n"/>
      <c r="Z8" s="6">
        <f>IF(F8="","",ROUND(F8/3.305785,1))</f>
        <v/>
      </c>
      <c r="AA8" s="6">
        <f>IF(OR(G8="",I8=""),"",ROUND(I8/G8*100,1))</f>
        <v/>
      </c>
      <c r="AB8" s="7">
        <f>IF(OR(Z8="",I8=""),"",ROUND(I8/Z8,0))</f>
        <v/>
      </c>
      <c r="AC8" s="7">
        <f>IF(I8="","",FLOOR(I8*IF(T8&lt;&gt;"",T8,IF(E8="농지",3,4))/100,10))</f>
        <v/>
      </c>
      <c r="AD8" s="7">
        <f>IF(I8="","",FLOOR(I8*IF(T8&lt;&gt;"",N(U8),0.2)/100,10))</f>
        <v/>
      </c>
      <c r="AE8" s="7">
        <f>IF(I8="","",FLOOR(I8*IF(T8&lt;&gt;"",N(V8),(IF(E8="농지",3,4)-2)*0.2)/100,10))</f>
        <v/>
      </c>
      <c r="AF8" s="7">
        <f>IF(N8="","",ROUND(N8*N(O8)/100*N(P8)/12,0))</f>
        <v/>
      </c>
      <c r="AG8" s="7">
        <f>IF(I8="","",I8+AC8+AD8+AE8+N(K8)+N(L8)+N(M8)+N(Q8)+N(AF8))</f>
        <v/>
      </c>
      <c r="AH8" s="7">
        <f>IF(OR(R8="",S8=""),"",ROUND(R8*S8/100,0))</f>
        <v/>
      </c>
      <c r="AI8" s="7">
        <f>IF(OR(AG8="",R8=""),"",R8-N(AH8)-AG8)</f>
        <v/>
      </c>
      <c r="AJ8" s="6">
        <f>IF(AI8="","",ROUND(AI8/AG8*100,1))</f>
        <v/>
      </c>
    </row>
    <row r="9">
      <c r="A9" s="3" t="n"/>
      <c r="B9" s="3" t="n"/>
      <c r="C9" s="4" t="n"/>
      <c r="D9" s="3" t="n"/>
      <c r="E9" s="3" t="n"/>
      <c r="F9" s="3" t="n"/>
      <c r="G9" s="5" t="n"/>
      <c r="H9" s="5" t="n"/>
      <c r="I9" s="5" t="n"/>
      <c r="J9" s="5" t="n"/>
      <c r="K9" s="5" t="n"/>
      <c r="L9" s="5" t="n"/>
      <c r="M9" s="5" t="n"/>
      <c r="N9" s="5" t="n"/>
      <c r="O9" s="3" t="n"/>
      <c r="P9" s="3" t="n"/>
      <c r="Q9" s="5" t="n"/>
      <c r="R9" s="5" t="n"/>
      <c r="S9" s="3" t="n"/>
      <c r="T9" s="3" t="n"/>
      <c r="U9" s="3" t="n"/>
      <c r="V9" s="3" t="n"/>
      <c r="W9" s="3" t="n"/>
      <c r="X9" s="3" t="n"/>
      <c r="Y9" s="3" t="n"/>
      <c r="Z9" s="6">
        <f>IF(F9="","",ROUND(F9/3.305785,1))</f>
        <v/>
      </c>
      <c r="AA9" s="6">
        <f>IF(OR(G9="",I9=""),"",ROUND(I9/G9*100,1))</f>
        <v/>
      </c>
      <c r="AB9" s="7">
        <f>IF(OR(Z9="",I9=""),"",ROUND(I9/Z9,0))</f>
        <v/>
      </c>
      <c r="AC9" s="7">
        <f>IF(I9="","",FLOOR(I9*IF(T9&lt;&gt;"",T9,IF(E9="농지",3,4))/100,10))</f>
        <v/>
      </c>
      <c r="AD9" s="7">
        <f>IF(I9="","",FLOOR(I9*IF(T9&lt;&gt;"",N(U9),0.2)/100,10))</f>
        <v/>
      </c>
      <c r="AE9" s="7">
        <f>IF(I9="","",FLOOR(I9*IF(T9&lt;&gt;"",N(V9),(IF(E9="농지",3,4)-2)*0.2)/100,10))</f>
        <v/>
      </c>
      <c r="AF9" s="7">
        <f>IF(N9="","",ROUND(N9*N(O9)/100*N(P9)/12,0))</f>
        <v/>
      </c>
      <c r="AG9" s="7">
        <f>IF(I9="","",I9+AC9+AD9+AE9+N(K9)+N(L9)+N(M9)+N(Q9)+N(AF9))</f>
        <v/>
      </c>
      <c r="AH9" s="7">
        <f>IF(OR(R9="",S9=""),"",ROUND(R9*S9/100,0))</f>
        <v/>
      </c>
      <c r="AI9" s="7">
        <f>IF(OR(AG9="",R9=""),"",R9-N(AH9)-AG9)</f>
        <v/>
      </c>
      <c r="AJ9" s="6">
        <f>IF(AI9="","",ROUND(AI9/AG9*100,1))</f>
        <v/>
      </c>
    </row>
    <row r="10">
      <c r="A10" s="3" t="n"/>
      <c r="B10" s="3" t="n"/>
      <c r="C10" s="4" t="n"/>
      <c r="D10" s="3" t="n"/>
      <c r="E10" s="3" t="n"/>
      <c r="F10" s="3" t="n"/>
      <c r="G10" s="5" t="n"/>
      <c r="H10" s="5" t="n"/>
      <c r="I10" s="5" t="n"/>
      <c r="J10" s="5" t="n"/>
      <c r="K10" s="5" t="n"/>
      <c r="L10" s="5" t="n"/>
      <c r="M10" s="5" t="n"/>
      <c r="N10" s="5" t="n"/>
      <c r="O10" s="3" t="n"/>
      <c r="P10" s="3" t="n"/>
      <c r="Q10" s="5" t="n"/>
      <c r="R10" s="5" t="n"/>
      <c r="S10" s="3" t="n"/>
      <c r="T10" s="3" t="n"/>
      <c r="U10" s="3" t="n"/>
      <c r="V10" s="3" t="n"/>
      <c r="W10" s="3" t="n"/>
      <c r="X10" s="3" t="n"/>
      <c r="Y10" s="3" t="n"/>
      <c r="Z10" s="6">
        <f>IF(F10="","",ROUND(F10/3.305785,1))</f>
        <v/>
      </c>
      <c r="AA10" s="6">
        <f>IF(OR(G10="",I10=""),"",ROUND(I10/G10*100,1))</f>
        <v/>
      </c>
      <c r="AB10" s="7">
        <f>IF(OR(Z10="",I10=""),"",ROUND(I10/Z10,0))</f>
        <v/>
      </c>
      <c r="AC10" s="7">
        <f>IF(I10="","",FLOOR(I10*IF(T10&lt;&gt;"",T10,IF(E10="농지",3,4))/100,10))</f>
        <v/>
      </c>
      <c r="AD10" s="7">
        <f>IF(I10="","",FLOOR(I10*IF(T10&lt;&gt;"",N(U10),0.2)/100,10))</f>
        <v/>
      </c>
      <c r="AE10" s="7">
        <f>IF(I10="","",FLOOR(I10*IF(T10&lt;&gt;"",N(V10),(IF(E10="농지",3,4)-2)*0.2)/100,10))</f>
        <v/>
      </c>
      <c r="AF10" s="7">
        <f>IF(N10="","",ROUND(N10*N(O10)/100*N(P10)/12,0))</f>
        <v/>
      </c>
      <c r="AG10" s="7">
        <f>IF(I10="","",I10+AC10+AD10+AE10+N(K10)+N(L10)+N(M10)+N(Q10)+N(AF10))</f>
        <v/>
      </c>
      <c r="AH10" s="7">
        <f>IF(OR(R10="",S10=""),"",ROUND(R10*S10/100,0))</f>
        <v/>
      </c>
      <c r="AI10" s="7">
        <f>IF(OR(AG10="",R10=""),"",R10-N(AH10)-AG10)</f>
        <v/>
      </c>
      <c r="AJ10" s="6">
        <f>IF(AI10="","",ROUND(AI10/AG10*100,1))</f>
        <v/>
      </c>
    </row>
    <row r="11">
      <c r="A11" s="3" t="n"/>
      <c r="B11" s="3" t="n"/>
      <c r="C11" s="4" t="n"/>
      <c r="D11" s="3" t="n"/>
      <c r="E11" s="3" t="n"/>
      <c r="F11" s="3" t="n"/>
      <c r="G11" s="5" t="n"/>
      <c r="H11" s="5" t="n"/>
      <c r="I11" s="5" t="n"/>
      <c r="J11" s="5" t="n"/>
      <c r="K11" s="5" t="n"/>
      <c r="L11" s="5" t="n"/>
      <c r="M11" s="5" t="n"/>
      <c r="N11" s="5" t="n"/>
      <c r="O11" s="3" t="n"/>
      <c r="P11" s="3" t="n"/>
      <c r="Q11" s="5" t="n"/>
      <c r="R11" s="5" t="n"/>
      <c r="S11" s="3" t="n"/>
      <c r="T11" s="3" t="n"/>
      <c r="U11" s="3" t="n"/>
      <c r="V11" s="3" t="n"/>
      <c r="W11" s="3" t="n"/>
      <c r="X11" s="3" t="n"/>
      <c r="Y11" s="3" t="n"/>
      <c r="Z11" s="6">
        <f>IF(F11="","",ROUND(F11/3.305785,1))</f>
        <v/>
      </c>
      <c r="AA11" s="6">
        <f>IF(OR(G11="",I11=""),"",ROUND(I11/G11*100,1))</f>
        <v/>
      </c>
      <c r="AB11" s="7">
        <f>IF(OR(Z11="",I11=""),"",ROUND(I11/Z11,0))</f>
        <v/>
      </c>
      <c r="AC11" s="7">
        <f>IF(I11="","",FLOOR(I11*IF(T11&lt;&gt;"",T11,IF(E11="농지",3,4))/100,10))</f>
        <v/>
      </c>
      <c r="AD11" s="7">
        <f>IF(I11="","",FLOOR(I11*IF(T11&lt;&gt;"",N(U11),0.2)/100,10))</f>
        <v/>
      </c>
      <c r="AE11" s="7">
        <f>IF(I11="","",FLOOR(I11*IF(T11&lt;&gt;"",N(V11),(IF(E11="농지",3,4)-2)*0.2)/100,10))</f>
        <v/>
      </c>
      <c r="AF11" s="7">
        <f>IF(N11="","",ROUND(N11*N(O11)/100*N(P11)/12,0))</f>
        <v/>
      </c>
      <c r="AG11" s="7">
        <f>IF(I11="","",I11+AC11+AD11+AE11+N(K11)+N(L11)+N(M11)+N(Q11)+N(AF11))</f>
        <v/>
      </c>
      <c r="AH11" s="7">
        <f>IF(OR(R11="",S11=""),"",ROUND(R11*S11/100,0))</f>
        <v/>
      </c>
      <c r="AI11" s="7">
        <f>IF(OR(AG11="",R11=""),"",R11-N(AH11)-AG11)</f>
        <v/>
      </c>
      <c r="AJ11" s="6">
        <f>IF(AI11="","",ROUND(AI11/AG11*100,1))</f>
        <v/>
      </c>
    </row>
    <row r="12">
      <c r="A12" s="3" t="n"/>
      <c r="B12" s="3" t="n"/>
      <c r="C12" s="4" t="n"/>
      <c r="D12" s="3" t="n"/>
      <c r="E12" s="3" t="n"/>
      <c r="F12" s="3" t="n"/>
      <c r="G12" s="5" t="n"/>
      <c r="H12" s="5" t="n"/>
      <c r="I12" s="5" t="n"/>
      <c r="J12" s="5" t="n"/>
      <c r="K12" s="5" t="n"/>
      <c r="L12" s="5" t="n"/>
      <c r="M12" s="5" t="n"/>
      <c r="N12" s="5" t="n"/>
      <c r="O12" s="3" t="n"/>
      <c r="P12" s="3" t="n"/>
      <c r="Q12" s="5" t="n"/>
      <c r="R12" s="5" t="n"/>
      <c r="S12" s="3" t="n"/>
      <c r="T12" s="3" t="n"/>
      <c r="U12" s="3" t="n"/>
      <c r="V12" s="3" t="n"/>
      <c r="W12" s="3" t="n"/>
      <c r="X12" s="3" t="n"/>
      <c r="Y12" s="3" t="n"/>
      <c r="Z12" s="6">
        <f>IF(F12="","",ROUND(F12/3.305785,1))</f>
        <v/>
      </c>
      <c r="AA12" s="6">
        <f>IF(OR(G12="",I12=""),"",ROUND(I12/G12*100,1))</f>
        <v/>
      </c>
      <c r="AB12" s="7">
        <f>IF(OR(Z12="",I12=""),"",ROUND(I12/Z12,0))</f>
        <v/>
      </c>
      <c r="AC12" s="7">
        <f>IF(I12="","",FLOOR(I12*IF(T12&lt;&gt;"",T12,IF(E12="농지",3,4))/100,10))</f>
        <v/>
      </c>
      <c r="AD12" s="7">
        <f>IF(I12="","",FLOOR(I12*IF(T12&lt;&gt;"",N(U12),0.2)/100,10))</f>
        <v/>
      </c>
      <c r="AE12" s="7">
        <f>IF(I12="","",FLOOR(I12*IF(T12&lt;&gt;"",N(V12),(IF(E12="농지",3,4)-2)*0.2)/100,10))</f>
        <v/>
      </c>
      <c r="AF12" s="7">
        <f>IF(N12="","",ROUND(N12*N(O12)/100*N(P12)/12,0))</f>
        <v/>
      </c>
      <c r="AG12" s="7">
        <f>IF(I12="","",I12+AC12+AD12+AE12+N(K12)+N(L12)+N(M12)+N(Q12)+N(AF12))</f>
        <v/>
      </c>
      <c r="AH12" s="7">
        <f>IF(OR(R12="",S12=""),"",ROUND(R12*S12/100,0))</f>
        <v/>
      </c>
      <c r="AI12" s="7">
        <f>IF(OR(AG12="",R12=""),"",R12-N(AH12)-AG12)</f>
        <v/>
      </c>
      <c r="AJ12" s="6">
        <f>IF(AI12="","",ROUND(AI12/AG12*100,1))</f>
        <v/>
      </c>
    </row>
    <row r="13">
      <c r="A13" s="3" t="n"/>
      <c r="B13" s="3" t="n"/>
      <c r="C13" s="4" t="n"/>
      <c r="D13" s="3" t="n"/>
      <c r="E13" s="3" t="n"/>
      <c r="F13" s="3" t="n"/>
      <c r="G13" s="5" t="n"/>
      <c r="H13" s="5" t="n"/>
      <c r="I13" s="5" t="n"/>
      <c r="J13" s="5" t="n"/>
      <c r="K13" s="5" t="n"/>
      <c r="L13" s="5" t="n"/>
      <c r="M13" s="5" t="n"/>
      <c r="N13" s="5" t="n"/>
      <c r="O13" s="3" t="n"/>
      <c r="P13" s="3" t="n"/>
      <c r="Q13" s="5" t="n"/>
      <c r="R13" s="5" t="n"/>
      <c r="S13" s="3" t="n"/>
      <c r="T13" s="3" t="n"/>
      <c r="U13" s="3" t="n"/>
      <c r="V13" s="3" t="n"/>
      <c r="W13" s="3" t="n"/>
      <c r="X13" s="3" t="n"/>
      <c r="Y13" s="3" t="n"/>
      <c r="Z13" s="6">
        <f>IF(F13="","",ROUND(F13/3.305785,1))</f>
        <v/>
      </c>
      <c r="AA13" s="6">
        <f>IF(OR(G13="",I13=""),"",ROUND(I13/G13*100,1))</f>
        <v/>
      </c>
      <c r="AB13" s="7">
        <f>IF(OR(Z13="",I13=""),"",ROUND(I13/Z13,0))</f>
        <v/>
      </c>
      <c r="AC13" s="7">
        <f>IF(I13="","",FLOOR(I13*IF(T13&lt;&gt;"",T13,IF(E13="농지",3,4))/100,10))</f>
        <v/>
      </c>
      <c r="AD13" s="7">
        <f>IF(I13="","",FLOOR(I13*IF(T13&lt;&gt;"",N(U13),0.2)/100,10))</f>
        <v/>
      </c>
      <c r="AE13" s="7">
        <f>IF(I13="","",FLOOR(I13*IF(T13&lt;&gt;"",N(V13),(IF(E13="농지",3,4)-2)*0.2)/100,10))</f>
        <v/>
      </c>
      <c r="AF13" s="7">
        <f>IF(N13="","",ROUND(N13*N(O13)/100*N(P13)/12,0))</f>
        <v/>
      </c>
      <c r="AG13" s="7">
        <f>IF(I13="","",I13+AC13+AD13+AE13+N(K13)+N(L13)+N(M13)+N(Q13)+N(AF13))</f>
        <v/>
      </c>
      <c r="AH13" s="7">
        <f>IF(OR(R13="",S13=""),"",ROUND(R13*S13/100,0))</f>
        <v/>
      </c>
      <c r="AI13" s="7">
        <f>IF(OR(AG13="",R13=""),"",R13-N(AH13)-AG13)</f>
        <v/>
      </c>
      <c r="AJ13" s="6">
        <f>IF(AI13="","",ROUND(AI13/AG13*100,1))</f>
        <v/>
      </c>
    </row>
    <row r="14">
      <c r="A14" s="3" t="n"/>
      <c r="B14" s="3" t="n"/>
      <c r="C14" s="4" t="n"/>
      <c r="D14" s="3" t="n"/>
      <c r="E14" s="3" t="n"/>
      <c r="F14" s="3" t="n"/>
      <c r="G14" s="5" t="n"/>
      <c r="H14" s="5" t="n"/>
      <c r="I14" s="5" t="n"/>
      <c r="J14" s="5" t="n"/>
      <c r="K14" s="5" t="n"/>
      <c r="L14" s="5" t="n"/>
      <c r="M14" s="5" t="n"/>
      <c r="N14" s="5" t="n"/>
      <c r="O14" s="3" t="n"/>
      <c r="P14" s="3" t="n"/>
      <c r="Q14" s="5" t="n"/>
      <c r="R14" s="5" t="n"/>
      <c r="S14" s="3" t="n"/>
      <c r="T14" s="3" t="n"/>
      <c r="U14" s="3" t="n"/>
      <c r="V14" s="3" t="n"/>
      <c r="W14" s="3" t="n"/>
      <c r="X14" s="3" t="n"/>
      <c r="Y14" s="3" t="n"/>
      <c r="Z14" s="6">
        <f>IF(F14="","",ROUND(F14/3.305785,1))</f>
        <v/>
      </c>
      <c r="AA14" s="6">
        <f>IF(OR(G14="",I14=""),"",ROUND(I14/G14*100,1))</f>
        <v/>
      </c>
      <c r="AB14" s="7">
        <f>IF(OR(Z14="",I14=""),"",ROUND(I14/Z14,0))</f>
        <v/>
      </c>
      <c r="AC14" s="7">
        <f>IF(I14="","",FLOOR(I14*IF(T14&lt;&gt;"",T14,IF(E14="농지",3,4))/100,10))</f>
        <v/>
      </c>
      <c r="AD14" s="7">
        <f>IF(I14="","",FLOOR(I14*IF(T14&lt;&gt;"",N(U14),0.2)/100,10))</f>
        <v/>
      </c>
      <c r="AE14" s="7">
        <f>IF(I14="","",FLOOR(I14*IF(T14&lt;&gt;"",N(V14),(IF(E14="농지",3,4)-2)*0.2)/100,10))</f>
        <v/>
      </c>
      <c r="AF14" s="7">
        <f>IF(N14="","",ROUND(N14*N(O14)/100*N(P14)/12,0))</f>
        <v/>
      </c>
      <c r="AG14" s="7">
        <f>IF(I14="","",I14+AC14+AD14+AE14+N(K14)+N(L14)+N(M14)+N(Q14)+N(AF14))</f>
        <v/>
      </c>
      <c r="AH14" s="7">
        <f>IF(OR(R14="",S14=""),"",ROUND(R14*S14/100,0))</f>
        <v/>
      </c>
      <c r="AI14" s="7">
        <f>IF(OR(AG14="",R14=""),"",R14-N(AH14)-AG14)</f>
        <v/>
      </c>
      <c r="AJ14" s="6">
        <f>IF(AI14="","",ROUND(AI14/AG14*100,1))</f>
        <v/>
      </c>
    </row>
    <row r="15">
      <c r="A15" s="3" t="n"/>
      <c r="B15" s="3" t="n"/>
      <c r="C15" s="4" t="n"/>
      <c r="D15" s="3" t="n"/>
      <c r="E15" s="3" t="n"/>
      <c r="F15" s="3" t="n"/>
      <c r="G15" s="5" t="n"/>
      <c r="H15" s="5" t="n"/>
      <c r="I15" s="5" t="n"/>
      <c r="J15" s="5" t="n"/>
      <c r="K15" s="5" t="n"/>
      <c r="L15" s="5" t="n"/>
      <c r="M15" s="5" t="n"/>
      <c r="N15" s="5" t="n"/>
      <c r="O15" s="3" t="n"/>
      <c r="P15" s="3" t="n"/>
      <c r="Q15" s="5" t="n"/>
      <c r="R15" s="5" t="n"/>
      <c r="S15" s="3" t="n"/>
      <c r="T15" s="3" t="n"/>
      <c r="U15" s="3" t="n"/>
      <c r="V15" s="3" t="n"/>
      <c r="W15" s="3" t="n"/>
      <c r="X15" s="3" t="n"/>
      <c r="Y15" s="3" t="n"/>
      <c r="Z15" s="6">
        <f>IF(F15="","",ROUND(F15/3.305785,1))</f>
        <v/>
      </c>
      <c r="AA15" s="6">
        <f>IF(OR(G15="",I15=""),"",ROUND(I15/G15*100,1))</f>
        <v/>
      </c>
      <c r="AB15" s="7">
        <f>IF(OR(Z15="",I15=""),"",ROUND(I15/Z15,0))</f>
        <v/>
      </c>
      <c r="AC15" s="7">
        <f>IF(I15="","",FLOOR(I15*IF(T15&lt;&gt;"",T15,IF(E15="농지",3,4))/100,10))</f>
        <v/>
      </c>
      <c r="AD15" s="7">
        <f>IF(I15="","",FLOOR(I15*IF(T15&lt;&gt;"",N(U15),0.2)/100,10))</f>
        <v/>
      </c>
      <c r="AE15" s="7">
        <f>IF(I15="","",FLOOR(I15*IF(T15&lt;&gt;"",N(V15),(IF(E15="농지",3,4)-2)*0.2)/100,10))</f>
        <v/>
      </c>
      <c r="AF15" s="7">
        <f>IF(N15="","",ROUND(N15*N(O15)/100*N(P15)/12,0))</f>
        <v/>
      </c>
      <c r="AG15" s="7">
        <f>IF(I15="","",I15+AC15+AD15+AE15+N(K15)+N(L15)+N(M15)+N(Q15)+N(AF15))</f>
        <v/>
      </c>
      <c r="AH15" s="7">
        <f>IF(OR(R15="",S15=""),"",ROUND(R15*S15/100,0))</f>
        <v/>
      </c>
      <c r="AI15" s="7">
        <f>IF(OR(AG15="",R15=""),"",R15-N(AH15)-AG15)</f>
        <v/>
      </c>
      <c r="AJ15" s="6">
        <f>IF(AI15="","",ROUND(AI15/AG15*100,1))</f>
        <v/>
      </c>
    </row>
    <row r="16">
      <c r="A16" s="3" t="n"/>
      <c r="B16" s="3" t="n"/>
      <c r="C16" s="4" t="n"/>
      <c r="D16" s="3" t="n"/>
      <c r="E16" s="3" t="n"/>
      <c r="F16" s="3" t="n"/>
      <c r="G16" s="5" t="n"/>
      <c r="H16" s="5" t="n"/>
      <c r="I16" s="5" t="n"/>
      <c r="J16" s="5" t="n"/>
      <c r="K16" s="5" t="n"/>
      <c r="L16" s="5" t="n"/>
      <c r="M16" s="5" t="n"/>
      <c r="N16" s="5" t="n"/>
      <c r="O16" s="3" t="n"/>
      <c r="P16" s="3" t="n"/>
      <c r="Q16" s="5" t="n"/>
      <c r="R16" s="5" t="n"/>
      <c r="S16" s="3" t="n"/>
      <c r="T16" s="3" t="n"/>
      <c r="U16" s="3" t="n"/>
      <c r="V16" s="3" t="n"/>
      <c r="W16" s="3" t="n"/>
      <c r="X16" s="3" t="n"/>
      <c r="Y16" s="3" t="n"/>
      <c r="Z16" s="6">
        <f>IF(F16="","",ROUND(F16/3.305785,1))</f>
        <v/>
      </c>
      <c r="AA16" s="6">
        <f>IF(OR(G16="",I16=""),"",ROUND(I16/G16*100,1))</f>
        <v/>
      </c>
      <c r="AB16" s="7">
        <f>IF(OR(Z16="",I16=""),"",ROUND(I16/Z16,0))</f>
        <v/>
      </c>
      <c r="AC16" s="7">
        <f>IF(I16="","",FLOOR(I16*IF(T16&lt;&gt;"",T16,IF(E16="농지",3,4))/100,10))</f>
        <v/>
      </c>
      <c r="AD16" s="7">
        <f>IF(I16="","",FLOOR(I16*IF(T16&lt;&gt;"",N(U16),0.2)/100,10))</f>
        <v/>
      </c>
      <c r="AE16" s="7">
        <f>IF(I16="","",FLOOR(I16*IF(T16&lt;&gt;"",N(V16),(IF(E16="농지",3,4)-2)*0.2)/100,10))</f>
        <v/>
      </c>
      <c r="AF16" s="7">
        <f>IF(N16="","",ROUND(N16*N(O16)/100*N(P16)/12,0))</f>
        <v/>
      </c>
      <c r="AG16" s="7">
        <f>IF(I16="","",I16+AC16+AD16+AE16+N(K16)+N(L16)+N(M16)+N(Q16)+N(AF16))</f>
        <v/>
      </c>
      <c r="AH16" s="7">
        <f>IF(OR(R16="",S16=""),"",ROUND(R16*S16/100,0))</f>
        <v/>
      </c>
      <c r="AI16" s="7">
        <f>IF(OR(AG16="",R16=""),"",R16-N(AH16)-AG16)</f>
        <v/>
      </c>
      <c r="AJ16" s="6">
        <f>IF(AI16="","",ROUND(AI16/AG16*100,1))</f>
        <v/>
      </c>
    </row>
    <row r="17">
      <c r="A17" s="3" t="n"/>
      <c r="B17" s="3" t="n"/>
      <c r="C17" s="4" t="n"/>
      <c r="D17" s="3" t="n"/>
      <c r="E17" s="3" t="n"/>
      <c r="F17" s="3" t="n"/>
      <c r="G17" s="5" t="n"/>
      <c r="H17" s="5" t="n"/>
      <c r="I17" s="5" t="n"/>
      <c r="J17" s="5" t="n"/>
      <c r="K17" s="5" t="n"/>
      <c r="L17" s="5" t="n"/>
      <c r="M17" s="5" t="n"/>
      <c r="N17" s="5" t="n"/>
      <c r="O17" s="3" t="n"/>
      <c r="P17" s="3" t="n"/>
      <c r="Q17" s="5" t="n"/>
      <c r="R17" s="5" t="n"/>
      <c r="S17" s="3" t="n"/>
      <c r="T17" s="3" t="n"/>
      <c r="U17" s="3" t="n"/>
      <c r="V17" s="3" t="n"/>
      <c r="W17" s="3" t="n"/>
      <c r="X17" s="3" t="n"/>
      <c r="Y17" s="3" t="n"/>
      <c r="Z17" s="6">
        <f>IF(F17="","",ROUND(F17/3.305785,1))</f>
        <v/>
      </c>
      <c r="AA17" s="6">
        <f>IF(OR(G17="",I17=""),"",ROUND(I17/G17*100,1))</f>
        <v/>
      </c>
      <c r="AB17" s="7">
        <f>IF(OR(Z17="",I17=""),"",ROUND(I17/Z17,0))</f>
        <v/>
      </c>
      <c r="AC17" s="7">
        <f>IF(I17="","",FLOOR(I17*IF(T17&lt;&gt;"",T17,IF(E17="농지",3,4))/100,10))</f>
        <v/>
      </c>
      <c r="AD17" s="7">
        <f>IF(I17="","",FLOOR(I17*IF(T17&lt;&gt;"",N(U17),0.2)/100,10))</f>
        <v/>
      </c>
      <c r="AE17" s="7">
        <f>IF(I17="","",FLOOR(I17*IF(T17&lt;&gt;"",N(V17),(IF(E17="농지",3,4)-2)*0.2)/100,10))</f>
        <v/>
      </c>
      <c r="AF17" s="7">
        <f>IF(N17="","",ROUND(N17*N(O17)/100*N(P17)/12,0))</f>
        <v/>
      </c>
      <c r="AG17" s="7">
        <f>IF(I17="","",I17+AC17+AD17+AE17+N(K17)+N(L17)+N(M17)+N(Q17)+N(AF17))</f>
        <v/>
      </c>
      <c r="AH17" s="7">
        <f>IF(OR(R17="",S17=""),"",ROUND(R17*S17/100,0))</f>
        <v/>
      </c>
      <c r="AI17" s="7">
        <f>IF(OR(AG17="",R17=""),"",R17-N(AH17)-AG17)</f>
        <v/>
      </c>
      <c r="AJ17" s="6">
        <f>IF(AI17="","",ROUND(AI17/AG17*100,1))</f>
        <v/>
      </c>
    </row>
    <row r="18">
      <c r="A18" s="3" t="n"/>
      <c r="B18" s="3" t="n"/>
      <c r="C18" s="4" t="n"/>
      <c r="D18" s="3" t="n"/>
      <c r="E18" s="3" t="n"/>
      <c r="F18" s="3" t="n"/>
      <c r="G18" s="5" t="n"/>
      <c r="H18" s="5" t="n"/>
      <c r="I18" s="5" t="n"/>
      <c r="J18" s="5" t="n"/>
      <c r="K18" s="5" t="n"/>
      <c r="L18" s="5" t="n"/>
      <c r="M18" s="5" t="n"/>
      <c r="N18" s="5" t="n"/>
      <c r="O18" s="3" t="n"/>
      <c r="P18" s="3" t="n"/>
      <c r="Q18" s="5" t="n"/>
      <c r="R18" s="5" t="n"/>
      <c r="S18" s="3" t="n"/>
      <c r="T18" s="3" t="n"/>
      <c r="U18" s="3" t="n"/>
      <c r="V18" s="3" t="n"/>
      <c r="W18" s="3" t="n"/>
      <c r="X18" s="3" t="n"/>
      <c r="Y18" s="3" t="n"/>
      <c r="Z18" s="6">
        <f>IF(F18="","",ROUND(F18/3.305785,1))</f>
        <v/>
      </c>
      <c r="AA18" s="6">
        <f>IF(OR(G18="",I18=""),"",ROUND(I18/G18*100,1))</f>
        <v/>
      </c>
      <c r="AB18" s="7">
        <f>IF(OR(Z18="",I18=""),"",ROUND(I18/Z18,0))</f>
        <v/>
      </c>
      <c r="AC18" s="7">
        <f>IF(I18="","",FLOOR(I18*IF(T18&lt;&gt;"",T18,IF(E18="농지",3,4))/100,10))</f>
        <v/>
      </c>
      <c r="AD18" s="7">
        <f>IF(I18="","",FLOOR(I18*IF(T18&lt;&gt;"",N(U18),0.2)/100,10))</f>
        <v/>
      </c>
      <c r="AE18" s="7">
        <f>IF(I18="","",FLOOR(I18*IF(T18&lt;&gt;"",N(V18),(IF(E18="농지",3,4)-2)*0.2)/100,10))</f>
        <v/>
      </c>
      <c r="AF18" s="7">
        <f>IF(N18="","",ROUND(N18*N(O18)/100*N(P18)/12,0))</f>
        <v/>
      </c>
      <c r="AG18" s="7">
        <f>IF(I18="","",I18+AC18+AD18+AE18+N(K18)+N(L18)+N(M18)+N(Q18)+N(AF18))</f>
        <v/>
      </c>
      <c r="AH18" s="7">
        <f>IF(OR(R18="",S18=""),"",ROUND(R18*S18/100,0))</f>
        <v/>
      </c>
      <c r="AI18" s="7">
        <f>IF(OR(AG18="",R18=""),"",R18-N(AH18)-AG18)</f>
        <v/>
      </c>
      <c r="AJ18" s="6">
        <f>IF(AI18="","",ROUND(AI18/AG18*100,1))</f>
        <v/>
      </c>
    </row>
    <row r="19">
      <c r="A19" s="3" t="n"/>
      <c r="B19" s="3" t="n"/>
      <c r="C19" s="4" t="n"/>
      <c r="D19" s="3" t="n"/>
      <c r="E19" s="3" t="n"/>
      <c r="F19" s="3" t="n"/>
      <c r="G19" s="5" t="n"/>
      <c r="H19" s="5" t="n"/>
      <c r="I19" s="5" t="n"/>
      <c r="J19" s="5" t="n"/>
      <c r="K19" s="5" t="n"/>
      <c r="L19" s="5" t="n"/>
      <c r="M19" s="5" t="n"/>
      <c r="N19" s="5" t="n"/>
      <c r="O19" s="3" t="n"/>
      <c r="P19" s="3" t="n"/>
      <c r="Q19" s="5" t="n"/>
      <c r="R19" s="5" t="n"/>
      <c r="S19" s="3" t="n"/>
      <c r="T19" s="3" t="n"/>
      <c r="U19" s="3" t="n"/>
      <c r="V19" s="3" t="n"/>
      <c r="W19" s="3" t="n"/>
      <c r="X19" s="3" t="n"/>
      <c r="Y19" s="3" t="n"/>
      <c r="Z19" s="6">
        <f>IF(F19="","",ROUND(F19/3.305785,1))</f>
        <v/>
      </c>
      <c r="AA19" s="6">
        <f>IF(OR(G19="",I19=""),"",ROUND(I19/G19*100,1))</f>
        <v/>
      </c>
      <c r="AB19" s="7">
        <f>IF(OR(Z19="",I19=""),"",ROUND(I19/Z19,0))</f>
        <v/>
      </c>
      <c r="AC19" s="7">
        <f>IF(I19="","",FLOOR(I19*IF(T19&lt;&gt;"",T19,IF(E19="농지",3,4))/100,10))</f>
        <v/>
      </c>
      <c r="AD19" s="7">
        <f>IF(I19="","",FLOOR(I19*IF(T19&lt;&gt;"",N(U19),0.2)/100,10))</f>
        <v/>
      </c>
      <c r="AE19" s="7">
        <f>IF(I19="","",FLOOR(I19*IF(T19&lt;&gt;"",N(V19),(IF(E19="농지",3,4)-2)*0.2)/100,10))</f>
        <v/>
      </c>
      <c r="AF19" s="7">
        <f>IF(N19="","",ROUND(N19*N(O19)/100*N(P19)/12,0))</f>
        <v/>
      </c>
      <c r="AG19" s="7">
        <f>IF(I19="","",I19+AC19+AD19+AE19+N(K19)+N(L19)+N(M19)+N(Q19)+N(AF19))</f>
        <v/>
      </c>
      <c r="AH19" s="7">
        <f>IF(OR(R19="",S19=""),"",ROUND(R19*S19/100,0))</f>
        <v/>
      </c>
      <c r="AI19" s="7">
        <f>IF(OR(AG19="",R19=""),"",R19-N(AH19)-AG19)</f>
        <v/>
      </c>
      <c r="AJ19" s="6">
        <f>IF(AI19="","",ROUND(AI19/AG19*100,1))</f>
        <v/>
      </c>
    </row>
    <row r="20">
      <c r="A20" s="3" t="n"/>
      <c r="B20" s="3" t="n"/>
      <c r="C20" s="4" t="n"/>
      <c r="D20" s="3" t="n"/>
      <c r="E20" s="3" t="n"/>
      <c r="F20" s="3" t="n"/>
      <c r="G20" s="5" t="n"/>
      <c r="H20" s="5" t="n"/>
      <c r="I20" s="5" t="n"/>
      <c r="J20" s="5" t="n"/>
      <c r="K20" s="5" t="n"/>
      <c r="L20" s="5" t="n"/>
      <c r="M20" s="5" t="n"/>
      <c r="N20" s="5" t="n"/>
      <c r="O20" s="3" t="n"/>
      <c r="P20" s="3" t="n"/>
      <c r="Q20" s="5" t="n"/>
      <c r="R20" s="5" t="n"/>
      <c r="S20" s="3" t="n"/>
      <c r="T20" s="3" t="n"/>
      <c r="U20" s="3" t="n"/>
      <c r="V20" s="3" t="n"/>
      <c r="W20" s="3" t="n"/>
      <c r="X20" s="3" t="n"/>
      <c r="Y20" s="3" t="n"/>
      <c r="Z20" s="6">
        <f>IF(F20="","",ROUND(F20/3.305785,1))</f>
        <v/>
      </c>
      <c r="AA20" s="6">
        <f>IF(OR(G20="",I20=""),"",ROUND(I20/G20*100,1))</f>
        <v/>
      </c>
      <c r="AB20" s="7">
        <f>IF(OR(Z20="",I20=""),"",ROUND(I20/Z20,0))</f>
        <v/>
      </c>
      <c r="AC20" s="7">
        <f>IF(I20="","",FLOOR(I20*IF(T20&lt;&gt;"",T20,IF(E20="농지",3,4))/100,10))</f>
        <v/>
      </c>
      <c r="AD20" s="7">
        <f>IF(I20="","",FLOOR(I20*IF(T20&lt;&gt;"",N(U20),0.2)/100,10))</f>
        <v/>
      </c>
      <c r="AE20" s="7">
        <f>IF(I20="","",FLOOR(I20*IF(T20&lt;&gt;"",N(V20),(IF(E20="농지",3,4)-2)*0.2)/100,10))</f>
        <v/>
      </c>
      <c r="AF20" s="7">
        <f>IF(N20="","",ROUND(N20*N(O20)/100*N(P20)/12,0))</f>
        <v/>
      </c>
      <c r="AG20" s="7">
        <f>IF(I20="","",I20+AC20+AD20+AE20+N(K20)+N(L20)+N(M20)+N(Q20)+N(AF20))</f>
        <v/>
      </c>
      <c r="AH20" s="7">
        <f>IF(OR(R20="",S20=""),"",ROUND(R20*S20/100,0))</f>
        <v/>
      </c>
      <c r="AI20" s="7">
        <f>IF(OR(AG20="",R20=""),"",R20-N(AH20)-AG20)</f>
        <v/>
      </c>
      <c r="AJ20" s="6">
        <f>IF(AI20="","",ROUND(AI20/AG20*100,1))</f>
        <v/>
      </c>
    </row>
    <row r="21">
      <c r="A21" s="3" t="n"/>
      <c r="B21" s="3" t="n"/>
      <c r="C21" s="4" t="n"/>
      <c r="D21" s="3" t="n"/>
      <c r="E21" s="3" t="n"/>
      <c r="F21" s="3" t="n"/>
      <c r="G21" s="5" t="n"/>
      <c r="H21" s="5" t="n"/>
      <c r="I21" s="5" t="n"/>
      <c r="J21" s="5" t="n"/>
      <c r="K21" s="5" t="n"/>
      <c r="L21" s="5" t="n"/>
      <c r="M21" s="5" t="n"/>
      <c r="N21" s="5" t="n"/>
      <c r="O21" s="3" t="n"/>
      <c r="P21" s="3" t="n"/>
      <c r="Q21" s="5" t="n"/>
      <c r="R21" s="5" t="n"/>
      <c r="S21" s="3" t="n"/>
      <c r="T21" s="3" t="n"/>
      <c r="U21" s="3" t="n"/>
      <c r="V21" s="3" t="n"/>
      <c r="W21" s="3" t="n"/>
      <c r="X21" s="3" t="n"/>
      <c r="Y21" s="3" t="n"/>
      <c r="Z21" s="6">
        <f>IF(F21="","",ROUND(F21/3.305785,1))</f>
        <v/>
      </c>
      <c r="AA21" s="6">
        <f>IF(OR(G21="",I21=""),"",ROUND(I21/G21*100,1))</f>
        <v/>
      </c>
      <c r="AB21" s="7">
        <f>IF(OR(Z21="",I21=""),"",ROUND(I21/Z21,0))</f>
        <v/>
      </c>
      <c r="AC21" s="7">
        <f>IF(I21="","",FLOOR(I21*IF(T21&lt;&gt;"",T21,IF(E21="농지",3,4))/100,10))</f>
        <v/>
      </c>
      <c r="AD21" s="7">
        <f>IF(I21="","",FLOOR(I21*IF(T21&lt;&gt;"",N(U21),0.2)/100,10))</f>
        <v/>
      </c>
      <c r="AE21" s="7">
        <f>IF(I21="","",FLOOR(I21*IF(T21&lt;&gt;"",N(V21),(IF(E21="농지",3,4)-2)*0.2)/100,10))</f>
        <v/>
      </c>
      <c r="AF21" s="7">
        <f>IF(N21="","",ROUND(N21*N(O21)/100*N(P21)/12,0))</f>
        <v/>
      </c>
      <c r="AG21" s="7">
        <f>IF(I21="","",I21+AC21+AD21+AE21+N(K21)+N(L21)+N(M21)+N(Q21)+N(AF21))</f>
        <v/>
      </c>
      <c r="AH21" s="7">
        <f>IF(OR(R21="",S21=""),"",ROUND(R21*S21/100,0))</f>
        <v/>
      </c>
      <c r="AI21" s="7">
        <f>IF(OR(AG21="",R21=""),"",R21-N(AH21)-AG21)</f>
        <v/>
      </c>
      <c r="AJ21" s="6">
        <f>IF(AI21="","",ROUND(AI21/AG21*100,1))</f>
        <v/>
      </c>
    </row>
    <row r="22">
      <c r="A22" s="3" t="n"/>
      <c r="B22" s="3" t="n"/>
      <c r="C22" s="4" t="n"/>
      <c r="D22" s="3" t="n"/>
      <c r="E22" s="3" t="n"/>
      <c r="F22" s="3" t="n"/>
      <c r="G22" s="5" t="n"/>
      <c r="H22" s="5" t="n"/>
      <c r="I22" s="5" t="n"/>
      <c r="J22" s="5" t="n"/>
      <c r="K22" s="5" t="n"/>
      <c r="L22" s="5" t="n"/>
      <c r="M22" s="5" t="n"/>
      <c r="N22" s="5" t="n"/>
      <c r="O22" s="3" t="n"/>
      <c r="P22" s="3" t="n"/>
      <c r="Q22" s="5" t="n"/>
      <c r="R22" s="5" t="n"/>
      <c r="S22" s="3" t="n"/>
      <c r="T22" s="3" t="n"/>
      <c r="U22" s="3" t="n"/>
      <c r="V22" s="3" t="n"/>
      <c r="W22" s="3" t="n"/>
      <c r="X22" s="3" t="n"/>
      <c r="Y22" s="3" t="n"/>
      <c r="Z22" s="6">
        <f>IF(F22="","",ROUND(F22/3.305785,1))</f>
        <v/>
      </c>
      <c r="AA22" s="6">
        <f>IF(OR(G22="",I22=""),"",ROUND(I22/G22*100,1))</f>
        <v/>
      </c>
      <c r="AB22" s="7">
        <f>IF(OR(Z22="",I22=""),"",ROUND(I22/Z22,0))</f>
        <v/>
      </c>
      <c r="AC22" s="7">
        <f>IF(I22="","",FLOOR(I22*IF(T22&lt;&gt;"",T22,IF(E22="농지",3,4))/100,10))</f>
        <v/>
      </c>
      <c r="AD22" s="7">
        <f>IF(I22="","",FLOOR(I22*IF(T22&lt;&gt;"",N(U22),0.2)/100,10))</f>
        <v/>
      </c>
      <c r="AE22" s="7">
        <f>IF(I22="","",FLOOR(I22*IF(T22&lt;&gt;"",N(V22),(IF(E22="농지",3,4)-2)*0.2)/100,10))</f>
        <v/>
      </c>
      <c r="AF22" s="7">
        <f>IF(N22="","",ROUND(N22*N(O22)/100*N(P22)/12,0))</f>
        <v/>
      </c>
      <c r="AG22" s="7">
        <f>IF(I22="","",I22+AC22+AD22+AE22+N(K22)+N(L22)+N(M22)+N(Q22)+N(AF22))</f>
        <v/>
      </c>
      <c r="AH22" s="7">
        <f>IF(OR(R22="",S22=""),"",ROUND(R22*S22/100,0))</f>
        <v/>
      </c>
      <c r="AI22" s="7">
        <f>IF(OR(AG22="",R22=""),"",R22-N(AH22)-AG22)</f>
        <v/>
      </c>
      <c r="AJ22" s="6">
        <f>IF(AI22="","",ROUND(AI22/AG22*100,1))</f>
        <v/>
      </c>
    </row>
    <row r="23">
      <c r="A23" s="3" t="n"/>
      <c r="B23" s="3" t="n"/>
      <c r="C23" s="4" t="n"/>
      <c r="D23" s="3" t="n"/>
      <c r="E23" s="3" t="n"/>
      <c r="F23" s="3" t="n"/>
      <c r="G23" s="5" t="n"/>
      <c r="H23" s="5" t="n"/>
      <c r="I23" s="5" t="n"/>
      <c r="J23" s="5" t="n"/>
      <c r="K23" s="5" t="n"/>
      <c r="L23" s="5" t="n"/>
      <c r="M23" s="5" t="n"/>
      <c r="N23" s="5" t="n"/>
      <c r="O23" s="3" t="n"/>
      <c r="P23" s="3" t="n"/>
      <c r="Q23" s="5" t="n"/>
      <c r="R23" s="5" t="n"/>
      <c r="S23" s="3" t="n"/>
      <c r="T23" s="3" t="n"/>
      <c r="U23" s="3" t="n"/>
      <c r="V23" s="3" t="n"/>
      <c r="W23" s="3" t="n"/>
      <c r="X23" s="3" t="n"/>
      <c r="Y23" s="3" t="n"/>
      <c r="Z23" s="6">
        <f>IF(F23="","",ROUND(F23/3.305785,1))</f>
        <v/>
      </c>
      <c r="AA23" s="6">
        <f>IF(OR(G23="",I23=""),"",ROUND(I23/G23*100,1))</f>
        <v/>
      </c>
      <c r="AB23" s="7">
        <f>IF(OR(Z23="",I23=""),"",ROUND(I23/Z23,0))</f>
        <v/>
      </c>
      <c r="AC23" s="7">
        <f>IF(I23="","",FLOOR(I23*IF(T23&lt;&gt;"",T23,IF(E23="농지",3,4))/100,10))</f>
        <v/>
      </c>
      <c r="AD23" s="7">
        <f>IF(I23="","",FLOOR(I23*IF(T23&lt;&gt;"",N(U23),0.2)/100,10))</f>
        <v/>
      </c>
      <c r="AE23" s="7">
        <f>IF(I23="","",FLOOR(I23*IF(T23&lt;&gt;"",N(V23),(IF(E23="농지",3,4)-2)*0.2)/100,10))</f>
        <v/>
      </c>
      <c r="AF23" s="7">
        <f>IF(N23="","",ROUND(N23*N(O23)/100*N(P23)/12,0))</f>
        <v/>
      </c>
      <c r="AG23" s="7">
        <f>IF(I23="","",I23+AC23+AD23+AE23+N(K23)+N(L23)+N(M23)+N(Q23)+N(AF23))</f>
        <v/>
      </c>
      <c r="AH23" s="7">
        <f>IF(OR(R23="",S23=""),"",ROUND(R23*S23/100,0))</f>
        <v/>
      </c>
      <c r="AI23" s="7">
        <f>IF(OR(AG23="",R23=""),"",R23-N(AH23)-AG23)</f>
        <v/>
      </c>
      <c r="AJ23" s="6">
        <f>IF(AI23="","",ROUND(AI23/AG23*100,1))</f>
        <v/>
      </c>
    </row>
    <row r="24">
      <c r="A24" s="3" t="n"/>
      <c r="B24" s="3" t="n"/>
      <c r="C24" s="4" t="n"/>
      <c r="D24" s="3" t="n"/>
      <c r="E24" s="3" t="n"/>
      <c r="F24" s="3" t="n"/>
      <c r="G24" s="5" t="n"/>
      <c r="H24" s="5" t="n"/>
      <c r="I24" s="5" t="n"/>
      <c r="J24" s="5" t="n"/>
      <c r="K24" s="5" t="n"/>
      <c r="L24" s="5" t="n"/>
      <c r="M24" s="5" t="n"/>
      <c r="N24" s="5" t="n"/>
      <c r="O24" s="3" t="n"/>
      <c r="P24" s="3" t="n"/>
      <c r="Q24" s="5" t="n"/>
      <c r="R24" s="5" t="n"/>
      <c r="S24" s="3" t="n"/>
      <c r="T24" s="3" t="n"/>
      <c r="U24" s="3" t="n"/>
      <c r="V24" s="3" t="n"/>
      <c r="W24" s="3" t="n"/>
      <c r="X24" s="3" t="n"/>
      <c r="Y24" s="3" t="n"/>
      <c r="Z24" s="6">
        <f>IF(F24="","",ROUND(F24/3.305785,1))</f>
        <v/>
      </c>
      <c r="AA24" s="6">
        <f>IF(OR(G24="",I24=""),"",ROUND(I24/G24*100,1))</f>
        <v/>
      </c>
      <c r="AB24" s="7">
        <f>IF(OR(Z24="",I24=""),"",ROUND(I24/Z24,0))</f>
        <v/>
      </c>
      <c r="AC24" s="7">
        <f>IF(I24="","",FLOOR(I24*IF(T24&lt;&gt;"",T24,IF(E24="농지",3,4))/100,10))</f>
        <v/>
      </c>
      <c r="AD24" s="7">
        <f>IF(I24="","",FLOOR(I24*IF(T24&lt;&gt;"",N(U24),0.2)/100,10))</f>
        <v/>
      </c>
      <c r="AE24" s="7">
        <f>IF(I24="","",FLOOR(I24*IF(T24&lt;&gt;"",N(V24),(IF(E24="농지",3,4)-2)*0.2)/100,10))</f>
        <v/>
      </c>
      <c r="AF24" s="7">
        <f>IF(N24="","",ROUND(N24*N(O24)/100*N(P24)/12,0))</f>
        <v/>
      </c>
      <c r="AG24" s="7">
        <f>IF(I24="","",I24+AC24+AD24+AE24+N(K24)+N(L24)+N(M24)+N(Q24)+N(AF24))</f>
        <v/>
      </c>
      <c r="AH24" s="7">
        <f>IF(OR(R24="",S24=""),"",ROUND(R24*S24/100,0))</f>
        <v/>
      </c>
      <c r="AI24" s="7">
        <f>IF(OR(AG24="",R24=""),"",R24-N(AH24)-AG24)</f>
        <v/>
      </c>
      <c r="AJ24" s="6">
        <f>IF(AI24="","",ROUND(AI24/AG24*100,1))</f>
        <v/>
      </c>
    </row>
    <row r="25">
      <c r="A25" s="3" t="n"/>
      <c r="B25" s="3" t="n"/>
      <c r="C25" s="4" t="n"/>
      <c r="D25" s="3" t="n"/>
      <c r="E25" s="3" t="n"/>
      <c r="F25" s="3" t="n"/>
      <c r="G25" s="5" t="n"/>
      <c r="H25" s="5" t="n"/>
      <c r="I25" s="5" t="n"/>
      <c r="J25" s="5" t="n"/>
      <c r="K25" s="5" t="n"/>
      <c r="L25" s="5" t="n"/>
      <c r="M25" s="5" t="n"/>
      <c r="N25" s="5" t="n"/>
      <c r="O25" s="3" t="n"/>
      <c r="P25" s="3" t="n"/>
      <c r="Q25" s="5" t="n"/>
      <c r="R25" s="5" t="n"/>
      <c r="S25" s="3" t="n"/>
      <c r="T25" s="3" t="n"/>
      <c r="U25" s="3" t="n"/>
      <c r="V25" s="3" t="n"/>
      <c r="W25" s="3" t="n"/>
      <c r="X25" s="3" t="n"/>
      <c r="Y25" s="3" t="n"/>
      <c r="Z25" s="6">
        <f>IF(F25="","",ROUND(F25/3.305785,1))</f>
        <v/>
      </c>
      <c r="AA25" s="6">
        <f>IF(OR(G25="",I25=""),"",ROUND(I25/G25*100,1))</f>
        <v/>
      </c>
      <c r="AB25" s="7">
        <f>IF(OR(Z25="",I25=""),"",ROUND(I25/Z25,0))</f>
        <v/>
      </c>
      <c r="AC25" s="7">
        <f>IF(I25="","",FLOOR(I25*IF(T25&lt;&gt;"",T25,IF(E25="농지",3,4))/100,10))</f>
        <v/>
      </c>
      <c r="AD25" s="7">
        <f>IF(I25="","",FLOOR(I25*IF(T25&lt;&gt;"",N(U25),0.2)/100,10))</f>
        <v/>
      </c>
      <c r="AE25" s="7">
        <f>IF(I25="","",FLOOR(I25*IF(T25&lt;&gt;"",N(V25),(IF(E25="농지",3,4)-2)*0.2)/100,10))</f>
        <v/>
      </c>
      <c r="AF25" s="7">
        <f>IF(N25="","",ROUND(N25*N(O25)/100*N(P25)/12,0))</f>
        <v/>
      </c>
      <c r="AG25" s="7">
        <f>IF(I25="","",I25+AC25+AD25+AE25+N(K25)+N(L25)+N(M25)+N(Q25)+N(AF25))</f>
        <v/>
      </c>
      <c r="AH25" s="7">
        <f>IF(OR(R25="",S25=""),"",ROUND(R25*S25/100,0))</f>
        <v/>
      </c>
      <c r="AI25" s="7">
        <f>IF(OR(AG25="",R25=""),"",R25-N(AH25)-AG25)</f>
        <v/>
      </c>
      <c r="AJ25" s="6">
        <f>IF(AI25="","",ROUND(AI25/AG25*100,1))</f>
        <v/>
      </c>
    </row>
    <row r="26">
      <c r="A26" s="3" t="n"/>
      <c r="B26" s="3" t="n"/>
      <c r="C26" s="4" t="n"/>
      <c r="D26" s="3" t="n"/>
      <c r="E26" s="3" t="n"/>
      <c r="F26" s="3" t="n"/>
      <c r="G26" s="5" t="n"/>
      <c r="H26" s="5" t="n"/>
      <c r="I26" s="5" t="n"/>
      <c r="J26" s="5" t="n"/>
      <c r="K26" s="5" t="n"/>
      <c r="L26" s="5" t="n"/>
      <c r="M26" s="5" t="n"/>
      <c r="N26" s="5" t="n"/>
      <c r="O26" s="3" t="n"/>
      <c r="P26" s="3" t="n"/>
      <c r="Q26" s="5" t="n"/>
      <c r="R26" s="5" t="n"/>
      <c r="S26" s="3" t="n"/>
      <c r="T26" s="3" t="n"/>
      <c r="U26" s="3" t="n"/>
      <c r="V26" s="3" t="n"/>
      <c r="W26" s="3" t="n"/>
      <c r="X26" s="3" t="n"/>
      <c r="Y26" s="3" t="n"/>
      <c r="Z26" s="6">
        <f>IF(F26="","",ROUND(F26/3.305785,1))</f>
        <v/>
      </c>
      <c r="AA26" s="6">
        <f>IF(OR(G26="",I26=""),"",ROUND(I26/G26*100,1))</f>
        <v/>
      </c>
      <c r="AB26" s="7">
        <f>IF(OR(Z26="",I26=""),"",ROUND(I26/Z26,0))</f>
        <v/>
      </c>
      <c r="AC26" s="7">
        <f>IF(I26="","",FLOOR(I26*IF(T26&lt;&gt;"",T26,IF(E26="농지",3,4))/100,10))</f>
        <v/>
      </c>
      <c r="AD26" s="7">
        <f>IF(I26="","",FLOOR(I26*IF(T26&lt;&gt;"",N(U26),0.2)/100,10))</f>
        <v/>
      </c>
      <c r="AE26" s="7">
        <f>IF(I26="","",FLOOR(I26*IF(T26&lt;&gt;"",N(V26),(IF(E26="농지",3,4)-2)*0.2)/100,10))</f>
        <v/>
      </c>
      <c r="AF26" s="7">
        <f>IF(N26="","",ROUND(N26*N(O26)/100*N(P26)/12,0))</f>
        <v/>
      </c>
      <c r="AG26" s="7">
        <f>IF(I26="","",I26+AC26+AD26+AE26+N(K26)+N(L26)+N(M26)+N(Q26)+N(AF26))</f>
        <v/>
      </c>
      <c r="AH26" s="7">
        <f>IF(OR(R26="",S26=""),"",ROUND(R26*S26/100,0))</f>
        <v/>
      </c>
      <c r="AI26" s="7">
        <f>IF(OR(AG26="",R26=""),"",R26-N(AH26)-AG26)</f>
        <v/>
      </c>
      <c r="AJ26" s="6">
        <f>IF(AI26="","",ROUND(AI26/AG26*100,1))</f>
        <v/>
      </c>
    </row>
    <row r="27">
      <c r="A27" s="3" t="n"/>
      <c r="B27" s="3" t="n"/>
      <c r="C27" s="4" t="n"/>
      <c r="D27" s="3" t="n"/>
      <c r="E27" s="3" t="n"/>
      <c r="F27" s="3" t="n"/>
      <c r="G27" s="5" t="n"/>
      <c r="H27" s="5" t="n"/>
      <c r="I27" s="5" t="n"/>
      <c r="J27" s="5" t="n"/>
      <c r="K27" s="5" t="n"/>
      <c r="L27" s="5" t="n"/>
      <c r="M27" s="5" t="n"/>
      <c r="N27" s="5" t="n"/>
      <c r="O27" s="3" t="n"/>
      <c r="P27" s="3" t="n"/>
      <c r="Q27" s="5" t="n"/>
      <c r="R27" s="5" t="n"/>
      <c r="S27" s="3" t="n"/>
      <c r="T27" s="3" t="n"/>
      <c r="U27" s="3" t="n"/>
      <c r="V27" s="3" t="n"/>
      <c r="W27" s="3" t="n"/>
      <c r="X27" s="3" t="n"/>
      <c r="Y27" s="3" t="n"/>
      <c r="Z27" s="6">
        <f>IF(F27="","",ROUND(F27/3.305785,1))</f>
        <v/>
      </c>
      <c r="AA27" s="6">
        <f>IF(OR(G27="",I27=""),"",ROUND(I27/G27*100,1))</f>
        <v/>
      </c>
      <c r="AB27" s="7">
        <f>IF(OR(Z27="",I27=""),"",ROUND(I27/Z27,0))</f>
        <v/>
      </c>
      <c r="AC27" s="7">
        <f>IF(I27="","",FLOOR(I27*IF(T27&lt;&gt;"",T27,IF(E27="농지",3,4))/100,10))</f>
        <v/>
      </c>
      <c r="AD27" s="7">
        <f>IF(I27="","",FLOOR(I27*IF(T27&lt;&gt;"",N(U27),0.2)/100,10))</f>
        <v/>
      </c>
      <c r="AE27" s="7">
        <f>IF(I27="","",FLOOR(I27*IF(T27&lt;&gt;"",N(V27),(IF(E27="농지",3,4)-2)*0.2)/100,10))</f>
        <v/>
      </c>
      <c r="AF27" s="7">
        <f>IF(N27="","",ROUND(N27*N(O27)/100*N(P27)/12,0))</f>
        <v/>
      </c>
      <c r="AG27" s="7">
        <f>IF(I27="","",I27+AC27+AD27+AE27+N(K27)+N(L27)+N(M27)+N(Q27)+N(AF27))</f>
        <v/>
      </c>
      <c r="AH27" s="7">
        <f>IF(OR(R27="",S27=""),"",ROUND(R27*S27/100,0))</f>
        <v/>
      </c>
      <c r="AI27" s="7">
        <f>IF(OR(AG27="",R27=""),"",R27-N(AH27)-AG27)</f>
        <v/>
      </c>
      <c r="AJ27" s="6">
        <f>IF(AI27="","",ROUND(AI27/AG27*100,1))</f>
        <v/>
      </c>
    </row>
    <row r="28">
      <c r="A28" s="3" t="n"/>
      <c r="B28" s="3" t="n"/>
      <c r="C28" s="4" t="n"/>
      <c r="D28" s="3" t="n"/>
      <c r="E28" s="3" t="n"/>
      <c r="F28" s="3" t="n"/>
      <c r="G28" s="5" t="n"/>
      <c r="H28" s="5" t="n"/>
      <c r="I28" s="5" t="n"/>
      <c r="J28" s="5" t="n"/>
      <c r="K28" s="5" t="n"/>
      <c r="L28" s="5" t="n"/>
      <c r="M28" s="5" t="n"/>
      <c r="N28" s="5" t="n"/>
      <c r="O28" s="3" t="n"/>
      <c r="P28" s="3" t="n"/>
      <c r="Q28" s="5" t="n"/>
      <c r="R28" s="5" t="n"/>
      <c r="S28" s="3" t="n"/>
      <c r="T28" s="3" t="n"/>
      <c r="U28" s="3" t="n"/>
      <c r="V28" s="3" t="n"/>
      <c r="W28" s="3" t="n"/>
      <c r="X28" s="3" t="n"/>
      <c r="Y28" s="3" t="n"/>
      <c r="Z28" s="6">
        <f>IF(F28="","",ROUND(F28/3.305785,1))</f>
        <v/>
      </c>
      <c r="AA28" s="6">
        <f>IF(OR(G28="",I28=""),"",ROUND(I28/G28*100,1))</f>
        <v/>
      </c>
      <c r="AB28" s="7">
        <f>IF(OR(Z28="",I28=""),"",ROUND(I28/Z28,0))</f>
        <v/>
      </c>
      <c r="AC28" s="7">
        <f>IF(I28="","",FLOOR(I28*IF(T28&lt;&gt;"",T28,IF(E28="농지",3,4))/100,10))</f>
        <v/>
      </c>
      <c r="AD28" s="7">
        <f>IF(I28="","",FLOOR(I28*IF(T28&lt;&gt;"",N(U28),0.2)/100,10))</f>
        <v/>
      </c>
      <c r="AE28" s="7">
        <f>IF(I28="","",FLOOR(I28*IF(T28&lt;&gt;"",N(V28),(IF(E28="농지",3,4)-2)*0.2)/100,10))</f>
        <v/>
      </c>
      <c r="AF28" s="7">
        <f>IF(N28="","",ROUND(N28*N(O28)/100*N(P28)/12,0))</f>
        <v/>
      </c>
      <c r="AG28" s="7">
        <f>IF(I28="","",I28+AC28+AD28+AE28+N(K28)+N(L28)+N(M28)+N(Q28)+N(AF28))</f>
        <v/>
      </c>
      <c r="AH28" s="7">
        <f>IF(OR(R28="",S28=""),"",ROUND(R28*S28/100,0))</f>
        <v/>
      </c>
      <c r="AI28" s="7">
        <f>IF(OR(AG28="",R28=""),"",R28-N(AH28)-AG28)</f>
        <v/>
      </c>
      <c r="AJ28" s="6">
        <f>IF(AI28="","",ROUND(AI28/AG28*100,1))</f>
        <v/>
      </c>
    </row>
    <row r="29">
      <c r="A29" s="3" t="n"/>
      <c r="B29" s="3" t="n"/>
      <c r="C29" s="4" t="n"/>
      <c r="D29" s="3" t="n"/>
      <c r="E29" s="3" t="n"/>
      <c r="F29" s="3" t="n"/>
      <c r="G29" s="5" t="n"/>
      <c r="H29" s="5" t="n"/>
      <c r="I29" s="5" t="n"/>
      <c r="J29" s="5" t="n"/>
      <c r="K29" s="5" t="n"/>
      <c r="L29" s="5" t="n"/>
      <c r="M29" s="5" t="n"/>
      <c r="N29" s="5" t="n"/>
      <c r="O29" s="3" t="n"/>
      <c r="P29" s="3" t="n"/>
      <c r="Q29" s="5" t="n"/>
      <c r="R29" s="5" t="n"/>
      <c r="S29" s="3" t="n"/>
      <c r="T29" s="3" t="n"/>
      <c r="U29" s="3" t="n"/>
      <c r="V29" s="3" t="n"/>
      <c r="W29" s="3" t="n"/>
      <c r="X29" s="3" t="n"/>
      <c r="Y29" s="3" t="n"/>
      <c r="Z29" s="6">
        <f>IF(F29="","",ROUND(F29/3.305785,1))</f>
        <v/>
      </c>
      <c r="AA29" s="6">
        <f>IF(OR(G29="",I29=""),"",ROUND(I29/G29*100,1))</f>
        <v/>
      </c>
      <c r="AB29" s="7">
        <f>IF(OR(Z29="",I29=""),"",ROUND(I29/Z29,0))</f>
        <v/>
      </c>
      <c r="AC29" s="7">
        <f>IF(I29="","",FLOOR(I29*IF(T29&lt;&gt;"",T29,IF(E29="농지",3,4))/100,10))</f>
        <v/>
      </c>
      <c r="AD29" s="7">
        <f>IF(I29="","",FLOOR(I29*IF(T29&lt;&gt;"",N(U29),0.2)/100,10))</f>
        <v/>
      </c>
      <c r="AE29" s="7">
        <f>IF(I29="","",FLOOR(I29*IF(T29&lt;&gt;"",N(V29),(IF(E29="농지",3,4)-2)*0.2)/100,10))</f>
        <v/>
      </c>
      <c r="AF29" s="7">
        <f>IF(N29="","",ROUND(N29*N(O29)/100*N(P29)/12,0))</f>
        <v/>
      </c>
      <c r="AG29" s="7">
        <f>IF(I29="","",I29+AC29+AD29+AE29+N(K29)+N(L29)+N(M29)+N(Q29)+N(AF29))</f>
        <v/>
      </c>
      <c r="AH29" s="7">
        <f>IF(OR(R29="",S29=""),"",ROUND(R29*S29/100,0))</f>
        <v/>
      </c>
      <c r="AI29" s="7">
        <f>IF(OR(AG29="",R29=""),"",R29-N(AH29)-AG29)</f>
        <v/>
      </c>
      <c r="AJ29" s="6">
        <f>IF(AI29="","",ROUND(AI29/AG29*100,1))</f>
        <v/>
      </c>
    </row>
    <row r="30">
      <c r="A30" s="3" t="n"/>
      <c r="B30" s="3" t="n"/>
      <c r="C30" s="4" t="n"/>
      <c r="D30" s="3" t="n"/>
      <c r="E30" s="3" t="n"/>
      <c r="F30" s="3" t="n"/>
      <c r="G30" s="5" t="n"/>
      <c r="H30" s="5" t="n"/>
      <c r="I30" s="5" t="n"/>
      <c r="J30" s="5" t="n"/>
      <c r="K30" s="5" t="n"/>
      <c r="L30" s="5" t="n"/>
      <c r="M30" s="5" t="n"/>
      <c r="N30" s="5" t="n"/>
      <c r="O30" s="3" t="n"/>
      <c r="P30" s="3" t="n"/>
      <c r="Q30" s="5" t="n"/>
      <c r="R30" s="5" t="n"/>
      <c r="S30" s="3" t="n"/>
      <c r="T30" s="3" t="n"/>
      <c r="U30" s="3" t="n"/>
      <c r="V30" s="3" t="n"/>
      <c r="W30" s="3" t="n"/>
      <c r="X30" s="3" t="n"/>
      <c r="Y30" s="3" t="n"/>
      <c r="Z30" s="6">
        <f>IF(F30="","",ROUND(F30/3.305785,1))</f>
        <v/>
      </c>
      <c r="AA30" s="6">
        <f>IF(OR(G30="",I30=""),"",ROUND(I30/G30*100,1))</f>
        <v/>
      </c>
      <c r="AB30" s="7">
        <f>IF(OR(Z30="",I30=""),"",ROUND(I30/Z30,0))</f>
        <v/>
      </c>
      <c r="AC30" s="7">
        <f>IF(I30="","",FLOOR(I30*IF(T30&lt;&gt;"",T30,IF(E30="농지",3,4))/100,10))</f>
        <v/>
      </c>
      <c r="AD30" s="7">
        <f>IF(I30="","",FLOOR(I30*IF(T30&lt;&gt;"",N(U30),0.2)/100,10))</f>
        <v/>
      </c>
      <c r="AE30" s="7">
        <f>IF(I30="","",FLOOR(I30*IF(T30&lt;&gt;"",N(V30),(IF(E30="농지",3,4)-2)*0.2)/100,10))</f>
        <v/>
      </c>
      <c r="AF30" s="7">
        <f>IF(N30="","",ROUND(N30*N(O30)/100*N(P30)/12,0))</f>
        <v/>
      </c>
      <c r="AG30" s="7">
        <f>IF(I30="","",I30+AC30+AD30+AE30+N(K30)+N(L30)+N(M30)+N(Q30)+N(AF30))</f>
        <v/>
      </c>
      <c r="AH30" s="7">
        <f>IF(OR(R30="",S30=""),"",ROUND(R30*S30/100,0))</f>
        <v/>
      </c>
      <c r="AI30" s="7">
        <f>IF(OR(AG30="",R30=""),"",R30-N(AH30)-AG30)</f>
        <v/>
      </c>
      <c r="AJ30" s="6">
        <f>IF(AI30="","",ROUND(AI30/AG30*100,1))</f>
        <v/>
      </c>
    </row>
    <row r="31">
      <c r="A31" s="3" t="n"/>
      <c r="B31" s="3" t="n"/>
      <c r="C31" s="4" t="n"/>
      <c r="D31" s="3" t="n"/>
      <c r="E31" s="3" t="n"/>
      <c r="F31" s="3" t="n"/>
      <c r="G31" s="5" t="n"/>
      <c r="H31" s="5" t="n"/>
      <c r="I31" s="5" t="n"/>
      <c r="J31" s="5" t="n"/>
      <c r="K31" s="5" t="n"/>
      <c r="L31" s="5" t="n"/>
      <c r="M31" s="5" t="n"/>
      <c r="N31" s="5" t="n"/>
      <c r="O31" s="3" t="n"/>
      <c r="P31" s="3" t="n"/>
      <c r="Q31" s="5" t="n"/>
      <c r="R31" s="5" t="n"/>
      <c r="S31" s="3" t="n"/>
      <c r="T31" s="3" t="n"/>
      <c r="U31" s="3" t="n"/>
      <c r="V31" s="3" t="n"/>
      <c r="W31" s="3" t="n"/>
      <c r="X31" s="3" t="n"/>
      <c r="Y31" s="3" t="n"/>
      <c r="Z31" s="6">
        <f>IF(F31="","",ROUND(F31/3.305785,1))</f>
        <v/>
      </c>
      <c r="AA31" s="6">
        <f>IF(OR(G31="",I31=""),"",ROUND(I31/G31*100,1))</f>
        <v/>
      </c>
      <c r="AB31" s="7">
        <f>IF(OR(Z31="",I31=""),"",ROUND(I31/Z31,0))</f>
        <v/>
      </c>
      <c r="AC31" s="7">
        <f>IF(I31="","",FLOOR(I31*IF(T31&lt;&gt;"",T31,IF(E31="농지",3,4))/100,10))</f>
        <v/>
      </c>
      <c r="AD31" s="7">
        <f>IF(I31="","",FLOOR(I31*IF(T31&lt;&gt;"",N(U31),0.2)/100,10))</f>
        <v/>
      </c>
      <c r="AE31" s="7">
        <f>IF(I31="","",FLOOR(I31*IF(T31&lt;&gt;"",N(V31),(IF(E31="농지",3,4)-2)*0.2)/100,10))</f>
        <v/>
      </c>
      <c r="AF31" s="7">
        <f>IF(N31="","",ROUND(N31*N(O31)/100*N(P31)/12,0))</f>
        <v/>
      </c>
      <c r="AG31" s="7">
        <f>IF(I31="","",I31+AC31+AD31+AE31+N(K31)+N(L31)+N(M31)+N(Q31)+N(AF31))</f>
        <v/>
      </c>
      <c r="AH31" s="7">
        <f>IF(OR(R31="",S31=""),"",ROUND(R31*S31/100,0))</f>
        <v/>
      </c>
      <c r="AI31" s="7">
        <f>IF(OR(AG31="",R31=""),"",R31-N(AH31)-AG31)</f>
        <v/>
      </c>
      <c r="AJ31" s="6">
        <f>IF(AI31="","",ROUND(AI31/AG31*100,1))</f>
        <v/>
      </c>
    </row>
    <row r="32">
      <c r="A32" s="3" t="n"/>
      <c r="B32" s="3" t="n"/>
      <c r="C32" s="4" t="n"/>
      <c r="D32" s="3" t="n"/>
      <c r="E32" s="3" t="n"/>
      <c r="F32" s="3" t="n"/>
      <c r="G32" s="5" t="n"/>
      <c r="H32" s="5" t="n"/>
      <c r="I32" s="5" t="n"/>
      <c r="J32" s="5" t="n"/>
      <c r="K32" s="5" t="n"/>
      <c r="L32" s="5" t="n"/>
      <c r="M32" s="5" t="n"/>
      <c r="N32" s="5" t="n"/>
      <c r="O32" s="3" t="n"/>
      <c r="P32" s="3" t="n"/>
      <c r="Q32" s="5" t="n"/>
      <c r="R32" s="5" t="n"/>
      <c r="S32" s="3" t="n"/>
      <c r="T32" s="3" t="n"/>
      <c r="U32" s="3" t="n"/>
      <c r="V32" s="3" t="n"/>
      <c r="W32" s="3" t="n"/>
      <c r="X32" s="3" t="n"/>
      <c r="Y32" s="3" t="n"/>
      <c r="Z32" s="6">
        <f>IF(F32="","",ROUND(F32/3.305785,1))</f>
        <v/>
      </c>
      <c r="AA32" s="6">
        <f>IF(OR(G32="",I32=""),"",ROUND(I32/G32*100,1))</f>
        <v/>
      </c>
      <c r="AB32" s="7">
        <f>IF(OR(Z32="",I32=""),"",ROUND(I32/Z32,0))</f>
        <v/>
      </c>
      <c r="AC32" s="7">
        <f>IF(I32="","",FLOOR(I32*IF(T32&lt;&gt;"",T32,IF(E32="농지",3,4))/100,10))</f>
        <v/>
      </c>
      <c r="AD32" s="7">
        <f>IF(I32="","",FLOOR(I32*IF(T32&lt;&gt;"",N(U32),0.2)/100,10))</f>
        <v/>
      </c>
      <c r="AE32" s="7">
        <f>IF(I32="","",FLOOR(I32*IF(T32&lt;&gt;"",N(V32),(IF(E32="농지",3,4)-2)*0.2)/100,10))</f>
        <v/>
      </c>
      <c r="AF32" s="7">
        <f>IF(N32="","",ROUND(N32*N(O32)/100*N(P32)/12,0))</f>
        <v/>
      </c>
      <c r="AG32" s="7">
        <f>IF(I32="","",I32+AC32+AD32+AE32+N(K32)+N(L32)+N(M32)+N(Q32)+N(AF32))</f>
        <v/>
      </c>
      <c r="AH32" s="7">
        <f>IF(OR(R32="",S32=""),"",ROUND(R32*S32/100,0))</f>
        <v/>
      </c>
      <c r="AI32" s="7">
        <f>IF(OR(AG32="",R32=""),"",R32-N(AH32)-AG32)</f>
        <v/>
      </c>
      <c r="AJ32" s="6">
        <f>IF(AI32="","",ROUND(AI32/AG32*100,1))</f>
        <v/>
      </c>
    </row>
    <row r="33">
      <c r="A33" s="3" t="n"/>
      <c r="B33" s="3" t="n"/>
      <c r="C33" s="4" t="n"/>
      <c r="D33" s="3" t="n"/>
      <c r="E33" s="3" t="n"/>
      <c r="F33" s="3" t="n"/>
      <c r="G33" s="5" t="n"/>
      <c r="H33" s="5" t="n"/>
      <c r="I33" s="5" t="n"/>
      <c r="J33" s="5" t="n"/>
      <c r="K33" s="5" t="n"/>
      <c r="L33" s="5" t="n"/>
      <c r="M33" s="5" t="n"/>
      <c r="N33" s="5" t="n"/>
      <c r="O33" s="3" t="n"/>
      <c r="P33" s="3" t="n"/>
      <c r="Q33" s="5" t="n"/>
      <c r="R33" s="5" t="n"/>
      <c r="S33" s="3" t="n"/>
      <c r="T33" s="3" t="n"/>
      <c r="U33" s="3" t="n"/>
      <c r="V33" s="3" t="n"/>
      <c r="W33" s="3" t="n"/>
      <c r="X33" s="3" t="n"/>
      <c r="Y33" s="3" t="n"/>
      <c r="Z33" s="6">
        <f>IF(F33="","",ROUND(F33/3.305785,1))</f>
        <v/>
      </c>
      <c r="AA33" s="6">
        <f>IF(OR(G33="",I33=""),"",ROUND(I33/G33*100,1))</f>
        <v/>
      </c>
      <c r="AB33" s="7">
        <f>IF(OR(Z33="",I33=""),"",ROUND(I33/Z33,0))</f>
        <v/>
      </c>
      <c r="AC33" s="7">
        <f>IF(I33="","",FLOOR(I33*IF(T33&lt;&gt;"",T33,IF(E33="농지",3,4))/100,10))</f>
        <v/>
      </c>
      <c r="AD33" s="7">
        <f>IF(I33="","",FLOOR(I33*IF(T33&lt;&gt;"",N(U33),0.2)/100,10))</f>
        <v/>
      </c>
      <c r="AE33" s="7">
        <f>IF(I33="","",FLOOR(I33*IF(T33&lt;&gt;"",N(V33),(IF(E33="농지",3,4)-2)*0.2)/100,10))</f>
        <v/>
      </c>
      <c r="AF33" s="7">
        <f>IF(N33="","",ROUND(N33*N(O33)/100*N(P33)/12,0))</f>
        <v/>
      </c>
      <c r="AG33" s="7">
        <f>IF(I33="","",I33+AC33+AD33+AE33+N(K33)+N(L33)+N(M33)+N(Q33)+N(AF33))</f>
        <v/>
      </c>
      <c r="AH33" s="7">
        <f>IF(OR(R33="",S33=""),"",ROUND(R33*S33/100,0))</f>
        <v/>
      </c>
      <c r="AI33" s="7">
        <f>IF(OR(AG33="",R33=""),"",R33-N(AH33)-AG33)</f>
        <v/>
      </c>
      <c r="AJ33" s="6">
        <f>IF(AI33="","",ROUND(AI33/AG33*100,1))</f>
        <v/>
      </c>
    </row>
    <row r="34">
      <c r="A34" s="3" t="n"/>
      <c r="B34" s="3" t="n"/>
      <c r="C34" s="4" t="n"/>
      <c r="D34" s="3" t="n"/>
      <c r="E34" s="3" t="n"/>
      <c r="F34" s="3" t="n"/>
      <c r="G34" s="5" t="n"/>
      <c r="H34" s="5" t="n"/>
      <c r="I34" s="5" t="n"/>
      <c r="J34" s="5" t="n"/>
      <c r="K34" s="5" t="n"/>
      <c r="L34" s="5" t="n"/>
      <c r="M34" s="5" t="n"/>
      <c r="N34" s="5" t="n"/>
      <c r="O34" s="3" t="n"/>
      <c r="P34" s="3" t="n"/>
      <c r="Q34" s="5" t="n"/>
      <c r="R34" s="5" t="n"/>
      <c r="S34" s="3" t="n"/>
      <c r="T34" s="3" t="n"/>
      <c r="U34" s="3" t="n"/>
      <c r="V34" s="3" t="n"/>
      <c r="W34" s="3" t="n"/>
      <c r="X34" s="3" t="n"/>
      <c r="Y34" s="3" t="n"/>
      <c r="Z34" s="6">
        <f>IF(F34="","",ROUND(F34/3.305785,1))</f>
        <v/>
      </c>
      <c r="AA34" s="6">
        <f>IF(OR(G34="",I34=""),"",ROUND(I34/G34*100,1))</f>
        <v/>
      </c>
      <c r="AB34" s="7">
        <f>IF(OR(Z34="",I34=""),"",ROUND(I34/Z34,0))</f>
        <v/>
      </c>
      <c r="AC34" s="7">
        <f>IF(I34="","",FLOOR(I34*IF(T34&lt;&gt;"",T34,IF(E34="농지",3,4))/100,10))</f>
        <v/>
      </c>
      <c r="AD34" s="7">
        <f>IF(I34="","",FLOOR(I34*IF(T34&lt;&gt;"",N(U34),0.2)/100,10))</f>
        <v/>
      </c>
      <c r="AE34" s="7">
        <f>IF(I34="","",FLOOR(I34*IF(T34&lt;&gt;"",N(V34),(IF(E34="농지",3,4)-2)*0.2)/100,10))</f>
        <v/>
      </c>
      <c r="AF34" s="7">
        <f>IF(N34="","",ROUND(N34*N(O34)/100*N(P34)/12,0))</f>
        <v/>
      </c>
      <c r="AG34" s="7">
        <f>IF(I34="","",I34+AC34+AD34+AE34+N(K34)+N(L34)+N(M34)+N(Q34)+N(AF34))</f>
        <v/>
      </c>
      <c r="AH34" s="7">
        <f>IF(OR(R34="",S34=""),"",ROUND(R34*S34/100,0))</f>
        <v/>
      </c>
      <c r="AI34" s="7">
        <f>IF(OR(AG34="",R34=""),"",R34-N(AH34)-AG34)</f>
        <v/>
      </c>
      <c r="AJ34" s="6">
        <f>IF(AI34="","",ROUND(AI34/AG34*100,1))</f>
        <v/>
      </c>
    </row>
    <row r="35">
      <c r="A35" s="3" t="n"/>
      <c r="B35" s="3" t="n"/>
      <c r="C35" s="4" t="n"/>
      <c r="D35" s="3" t="n"/>
      <c r="E35" s="3" t="n"/>
      <c r="F35" s="3" t="n"/>
      <c r="G35" s="5" t="n"/>
      <c r="H35" s="5" t="n"/>
      <c r="I35" s="5" t="n"/>
      <c r="J35" s="5" t="n"/>
      <c r="K35" s="5" t="n"/>
      <c r="L35" s="5" t="n"/>
      <c r="M35" s="5" t="n"/>
      <c r="N35" s="5" t="n"/>
      <c r="O35" s="3" t="n"/>
      <c r="P35" s="3" t="n"/>
      <c r="Q35" s="5" t="n"/>
      <c r="R35" s="5" t="n"/>
      <c r="S35" s="3" t="n"/>
      <c r="T35" s="3" t="n"/>
      <c r="U35" s="3" t="n"/>
      <c r="V35" s="3" t="n"/>
      <c r="W35" s="3" t="n"/>
      <c r="X35" s="3" t="n"/>
      <c r="Y35" s="3" t="n"/>
      <c r="Z35" s="6">
        <f>IF(F35="","",ROUND(F35/3.305785,1))</f>
        <v/>
      </c>
      <c r="AA35" s="6">
        <f>IF(OR(G35="",I35=""),"",ROUND(I35/G35*100,1))</f>
        <v/>
      </c>
      <c r="AB35" s="7">
        <f>IF(OR(Z35="",I35=""),"",ROUND(I35/Z35,0))</f>
        <v/>
      </c>
      <c r="AC35" s="7">
        <f>IF(I35="","",FLOOR(I35*IF(T35&lt;&gt;"",T35,IF(E35="농지",3,4))/100,10))</f>
        <v/>
      </c>
      <c r="AD35" s="7">
        <f>IF(I35="","",FLOOR(I35*IF(T35&lt;&gt;"",N(U35),0.2)/100,10))</f>
        <v/>
      </c>
      <c r="AE35" s="7">
        <f>IF(I35="","",FLOOR(I35*IF(T35&lt;&gt;"",N(V35),(IF(E35="농지",3,4)-2)*0.2)/100,10))</f>
        <v/>
      </c>
      <c r="AF35" s="7">
        <f>IF(N35="","",ROUND(N35*N(O35)/100*N(P35)/12,0))</f>
        <v/>
      </c>
      <c r="AG35" s="7">
        <f>IF(I35="","",I35+AC35+AD35+AE35+N(K35)+N(L35)+N(M35)+N(Q35)+N(AF35))</f>
        <v/>
      </c>
      <c r="AH35" s="7">
        <f>IF(OR(R35="",S35=""),"",ROUND(R35*S35/100,0))</f>
        <v/>
      </c>
      <c r="AI35" s="7">
        <f>IF(OR(AG35="",R35=""),"",R35-N(AH35)-AG35)</f>
        <v/>
      </c>
      <c r="AJ35" s="6">
        <f>IF(AI35="","",ROUND(AI35/AG35*100,1))</f>
        <v/>
      </c>
    </row>
    <row r="36">
      <c r="A36" s="3" t="n"/>
      <c r="B36" s="3" t="n"/>
      <c r="C36" s="4" t="n"/>
      <c r="D36" s="3" t="n"/>
      <c r="E36" s="3" t="n"/>
      <c r="F36" s="3" t="n"/>
      <c r="G36" s="5" t="n"/>
      <c r="H36" s="5" t="n"/>
      <c r="I36" s="5" t="n"/>
      <c r="J36" s="5" t="n"/>
      <c r="K36" s="5" t="n"/>
      <c r="L36" s="5" t="n"/>
      <c r="M36" s="5" t="n"/>
      <c r="N36" s="5" t="n"/>
      <c r="O36" s="3" t="n"/>
      <c r="P36" s="3" t="n"/>
      <c r="Q36" s="5" t="n"/>
      <c r="R36" s="5" t="n"/>
      <c r="S36" s="3" t="n"/>
      <c r="T36" s="3" t="n"/>
      <c r="U36" s="3" t="n"/>
      <c r="V36" s="3" t="n"/>
      <c r="W36" s="3" t="n"/>
      <c r="X36" s="3" t="n"/>
      <c r="Y36" s="3" t="n"/>
      <c r="Z36" s="6">
        <f>IF(F36="","",ROUND(F36/3.305785,1))</f>
        <v/>
      </c>
      <c r="AA36" s="6">
        <f>IF(OR(G36="",I36=""),"",ROUND(I36/G36*100,1))</f>
        <v/>
      </c>
      <c r="AB36" s="7">
        <f>IF(OR(Z36="",I36=""),"",ROUND(I36/Z36,0))</f>
        <v/>
      </c>
      <c r="AC36" s="7">
        <f>IF(I36="","",FLOOR(I36*IF(T36&lt;&gt;"",T36,IF(E36="농지",3,4))/100,10))</f>
        <v/>
      </c>
      <c r="AD36" s="7">
        <f>IF(I36="","",FLOOR(I36*IF(T36&lt;&gt;"",N(U36),0.2)/100,10))</f>
        <v/>
      </c>
      <c r="AE36" s="7">
        <f>IF(I36="","",FLOOR(I36*IF(T36&lt;&gt;"",N(V36),(IF(E36="농지",3,4)-2)*0.2)/100,10))</f>
        <v/>
      </c>
      <c r="AF36" s="7">
        <f>IF(N36="","",ROUND(N36*N(O36)/100*N(P36)/12,0))</f>
        <v/>
      </c>
      <c r="AG36" s="7">
        <f>IF(I36="","",I36+AC36+AD36+AE36+N(K36)+N(L36)+N(M36)+N(Q36)+N(AF36))</f>
        <v/>
      </c>
      <c r="AH36" s="7">
        <f>IF(OR(R36="",S36=""),"",ROUND(R36*S36/100,0))</f>
        <v/>
      </c>
      <c r="AI36" s="7">
        <f>IF(OR(AG36="",R36=""),"",R36-N(AH36)-AG36)</f>
        <v/>
      </c>
      <c r="AJ36" s="6">
        <f>IF(AI36="","",ROUND(AI36/AG36*100,1))</f>
        <v/>
      </c>
    </row>
    <row r="37">
      <c r="A37" s="3" t="n"/>
      <c r="B37" s="3" t="n"/>
      <c r="C37" s="4" t="n"/>
      <c r="D37" s="3" t="n"/>
      <c r="E37" s="3" t="n"/>
      <c r="F37" s="3" t="n"/>
      <c r="G37" s="5" t="n"/>
      <c r="H37" s="5" t="n"/>
      <c r="I37" s="5" t="n"/>
      <c r="J37" s="5" t="n"/>
      <c r="K37" s="5" t="n"/>
      <c r="L37" s="5" t="n"/>
      <c r="M37" s="5" t="n"/>
      <c r="N37" s="5" t="n"/>
      <c r="O37" s="3" t="n"/>
      <c r="P37" s="3" t="n"/>
      <c r="Q37" s="5" t="n"/>
      <c r="R37" s="5" t="n"/>
      <c r="S37" s="3" t="n"/>
      <c r="T37" s="3" t="n"/>
      <c r="U37" s="3" t="n"/>
      <c r="V37" s="3" t="n"/>
      <c r="W37" s="3" t="n"/>
      <c r="X37" s="3" t="n"/>
      <c r="Y37" s="3" t="n"/>
      <c r="Z37" s="6">
        <f>IF(F37="","",ROUND(F37/3.305785,1))</f>
        <v/>
      </c>
      <c r="AA37" s="6">
        <f>IF(OR(G37="",I37=""),"",ROUND(I37/G37*100,1))</f>
        <v/>
      </c>
      <c r="AB37" s="7">
        <f>IF(OR(Z37="",I37=""),"",ROUND(I37/Z37,0))</f>
        <v/>
      </c>
      <c r="AC37" s="7">
        <f>IF(I37="","",FLOOR(I37*IF(T37&lt;&gt;"",T37,IF(E37="농지",3,4))/100,10))</f>
        <v/>
      </c>
      <c r="AD37" s="7">
        <f>IF(I37="","",FLOOR(I37*IF(T37&lt;&gt;"",N(U37),0.2)/100,10))</f>
        <v/>
      </c>
      <c r="AE37" s="7">
        <f>IF(I37="","",FLOOR(I37*IF(T37&lt;&gt;"",N(V37),(IF(E37="농지",3,4)-2)*0.2)/100,10))</f>
        <v/>
      </c>
      <c r="AF37" s="7">
        <f>IF(N37="","",ROUND(N37*N(O37)/100*N(P37)/12,0))</f>
        <v/>
      </c>
      <c r="AG37" s="7">
        <f>IF(I37="","",I37+AC37+AD37+AE37+N(K37)+N(L37)+N(M37)+N(Q37)+N(AF37))</f>
        <v/>
      </c>
      <c r="AH37" s="7">
        <f>IF(OR(R37="",S37=""),"",ROUND(R37*S37/100,0))</f>
        <v/>
      </c>
      <c r="AI37" s="7">
        <f>IF(OR(AG37="",R37=""),"",R37-N(AH37)-AG37)</f>
        <v/>
      </c>
      <c r="AJ37" s="6">
        <f>IF(AI37="","",ROUND(AI37/AG37*100,1))</f>
        <v/>
      </c>
    </row>
    <row r="38">
      <c r="A38" s="3" t="n"/>
      <c r="B38" s="3" t="n"/>
      <c r="C38" s="4" t="n"/>
      <c r="D38" s="3" t="n"/>
      <c r="E38" s="3" t="n"/>
      <c r="F38" s="3" t="n"/>
      <c r="G38" s="5" t="n"/>
      <c r="H38" s="5" t="n"/>
      <c r="I38" s="5" t="n"/>
      <c r="J38" s="5" t="n"/>
      <c r="K38" s="5" t="n"/>
      <c r="L38" s="5" t="n"/>
      <c r="M38" s="5" t="n"/>
      <c r="N38" s="5" t="n"/>
      <c r="O38" s="3" t="n"/>
      <c r="P38" s="3" t="n"/>
      <c r="Q38" s="5" t="n"/>
      <c r="R38" s="5" t="n"/>
      <c r="S38" s="3" t="n"/>
      <c r="T38" s="3" t="n"/>
      <c r="U38" s="3" t="n"/>
      <c r="V38" s="3" t="n"/>
      <c r="W38" s="3" t="n"/>
      <c r="X38" s="3" t="n"/>
      <c r="Y38" s="3" t="n"/>
      <c r="Z38" s="6">
        <f>IF(F38="","",ROUND(F38/3.305785,1))</f>
        <v/>
      </c>
      <c r="AA38" s="6">
        <f>IF(OR(G38="",I38=""),"",ROUND(I38/G38*100,1))</f>
        <v/>
      </c>
      <c r="AB38" s="7">
        <f>IF(OR(Z38="",I38=""),"",ROUND(I38/Z38,0))</f>
        <v/>
      </c>
      <c r="AC38" s="7">
        <f>IF(I38="","",FLOOR(I38*IF(T38&lt;&gt;"",T38,IF(E38="농지",3,4))/100,10))</f>
        <v/>
      </c>
      <c r="AD38" s="7">
        <f>IF(I38="","",FLOOR(I38*IF(T38&lt;&gt;"",N(U38),0.2)/100,10))</f>
        <v/>
      </c>
      <c r="AE38" s="7">
        <f>IF(I38="","",FLOOR(I38*IF(T38&lt;&gt;"",N(V38),(IF(E38="농지",3,4)-2)*0.2)/100,10))</f>
        <v/>
      </c>
      <c r="AF38" s="7">
        <f>IF(N38="","",ROUND(N38*N(O38)/100*N(P38)/12,0))</f>
        <v/>
      </c>
      <c r="AG38" s="7">
        <f>IF(I38="","",I38+AC38+AD38+AE38+N(K38)+N(L38)+N(M38)+N(Q38)+N(AF38))</f>
        <v/>
      </c>
      <c r="AH38" s="7">
        <f>IF(OR(R38="",S38=""),"",ROUND(R38*S38/100,0))</f>
        <v/>
      </c>
      <c r="AI38" s="7">
        <f>IF(OR(AG38="",R38=""),"",R38-N(AH38)-AG38)</f>
        <v/>
      </c>
      <c r="AJ38" s="6">
        <f>IF(AI38="","",ROUND(AI38/AG38*100,1))</f>
        <v/>
      </c>
    </row>
    <row r="39">
      <c r="A39" s="3" t="n"/>
      <c r="B39" s="3" t="n"/>
      <c r="C39" s="4" t="n"/>
      <c r="D39" s="3" t="n"/>
      <c r="E39" s="3" t="n"/>
      <c r="F39" s="3" t="n"/>
      <c r="G39" s="5" t="n"/>
      <c r="H39" s="5" t="n"/>
      <c r="I39" s="5" t="n"/>
      <c r="J39" s="5" t="n"/>
      <c r="K39" s="5" t="n"/>
      <c r="L39" s="5" t="n"/>
      <c r="M39" s="5" t="n"/>
      <c r="N39" s="5" t="n"/>
      <c r="O39" s="3" t="n"/>
      <c r="P39" s="3" t="n"/>
      <c r="Q39" s="5" t="n"/>
      <c r="R39" s="5" t="n"/>
      <c r="S39" s="3" t="n"/>
      <c r="T39" s="3" t="n"/>
      <c r="U39" s="3" t="n"/>
      <c r="V39" s="3" t="n"/>
      <c r="W39" s="3" t="n"/>
      <c r="X39" s="3" t="n"/>
      <c r="Y39" s="3" t="n"/>
      <c r="Z39" s="6">
        <f>IF(F39="","",ROUND(F39/3.305785,1))</f>
        <v/>
      </c>
      <c r="AA39" s="6">
        <f>IF(OR(G39="",I39=""),"",ROUND(I39/G39*100,1))</f>
        <v/>
      </c>
      <c r="AB39" s="7">
        <f>IF(OR(Z39="",I39=""),"",ROUND(I39/Z39,0))</f>
        <v/>
      </c>
      <c r="AC39" s="7">
        <f>IF(I39="","",FLOOR(I39*IF(T39&lt;&gt;"",T39,IF(E39="농지",3,4))/100,10))</f>
        <v/>
      </c>
      <c r="AD39" s="7">
        <f>IF(I39="","",FLOOR(I39*IF(T39&lt;&gt;"",N(U39),0.2)/100,10))</f>
        <v/>
      </c>
      <c r="AE39" s="7">
        <f>IF(I39="","",FLOOR(I39*IF(T39&lt;&gt;"",N(V39),(IF(E39="농지",3,4)-2)*0.2)/100,10))</f>
        <v/>
      </c>
      <c r="AF39" s="7">
        <f>IF(N39="","",ROUND(N39*N(O39)/100*N(P39)/12,0))</f>
        <v/>
      </c>
      <c r="AG39" s="7">
        <f>IF(I39="","",I39+AC39+AD39+AE39+N(K39)+N(L39)+N(M39)+N(Q39)+N(AF39))</f>
        <v/>
      </c>
      <c r="AH39" s="7">
        <f>IF(OR(R39="",S39=""),"",ROUND(R39*S39/100,0))</f>
        <v/>
      </c>
      <c r="AI39" s="7">
        <f>IF(OR(AG39="",R39=""),"",R39-N(AH39)-AG39)</f>
        <v/>
      </c>
      <c r="AJ39" s="6">
        <f>IF(AI39="","",ROUND(AI39/AG39*100,1))</f>
        <v/>
      </c>
    </row>
    <row r="40">
      <c r="A40" s="3" t="n"/>
      <c r="B40" s="3" t="n"/>
      <c r="C40" s="4" t="n"/>
      <c r="D40" s="3" t="n"/>
      <c r="E40" s="3" t="n"/>
      <c r="F40" s="3" t="n"/>
      <c r="G40" s="5" t="n"/>
      <c r="H40" s="5" t="n"/>
      <c r="I40" s="5" t="n"/>
      <c r="J40" s="5" t="n"/>
      <c r="K40" s="5" t="n"/>
      <c r="L40" s="5" t="n"/>
      <c r="M40" s="5" t="n"/>
      <c r="N40" s="5" t="n"/>
      <c r="O40" s="3" t="n"/>
      <c r="P40" s="3" t="n"/>
      <c r="Q40" s="5" t="n"/>
      <c r="R40" s="5" t="n"/>
      <c r="S40" s="3" t="n"/>
      <c r="T40" s="3" t="n"/>
      <c r="U40" s="3" t="n"/>
      <c r="V40" s="3" t="n"/>
      <c r="W40" s="3" t="n"/>
      <c r="X40" s="3" t="n"/>
      <c r="Y40" s="3" t="n"/>
      <c r="Z40" s="6">
        <f>IF(F40="","",ROUND(F40/3.305785,1))</f>
        <v/>
      </c>
      <c r="AA40" s="6">
        <f>IF(OR(G40="",I40=""),"",ROUND(I40/G40*100,1))</f>
        <v/>
      </c>
      <c r="AB40" s="7">
        <f>IF(OR(Z40="",I40=""),"",ROUND(I40/Z40,0))</f>
        <v/>
      </c>
      <c r="AC40" s="7">
        <f>IF(I40="","",FLOOR(I40*IF(T40&lt;&gt;"",T40,IF(E40="농지",3,4))/100,10))</f>
        <v/>
      </c>
      <c r="AD40" s="7">
        <f>IF(I40="","",FLOOR(I40*IF(T40&lt;&gt;"",N(U40),0.2)/100,10))</f>
        <v/>
      </c>
      <c r="AE40" s="7">
        <f>IF(I40="","",FLOOR(I40*IF(T40&lt;&gt;"",N(V40),(IF(E40="농지",3,4)-2)*0.2)/100,10))</f>
        <v/>
      </c>
      <c r="AF40" s="7">
        <f>IF(N40="","",ROUND(N40*N(O40)/100*N(P40)/12,0))</f>
        <v/>
      </c>
      <c r="AG40" s="7">
        <f>IF(I40="","",I40+AC40+AD40+AE40+N(K40)+N(L40)+N(M40)+N(Q40)+N(AF40))</f>
        <v/>
      </c>
      <c r="AH40" s="7">
        <f>IF(OR(R40="",S40=""),"",ROUND(R40*S40/100,0))</f>
        <v/>
      </c>
      <c r="AI40" s="7">
        <f>IF(OR(AG40="",R40=""),"",R40-N(AH40)-AG40)</f>
        <v/>
      </c>
      <c r="AJ40" s="6">
        <f>IF(AI40="","",ROUND(AI40/AG40*100,1))</f>
        <v/>
      </c>
    </row>
    <row r="41">
      <c r="A41" s="3" t="n"/>
      <c r="B41" s="3" t="n"/>
      <c r="C41" s="4" t="n"/>
      <c r="D41" s="3" t="n"/>
      <c r="E41" s="3" t="n"/>
      <c r="F41" s="3" t="n"/>
      <c r="G41" s="5" t="n"/>
      <c r="H41" s="5" t="n"/>
      <c r="I41" s="5" t="n"/>
      <c r="J41" s="5" t="n"/>
      <c r="K41" s="5" t="n"/>
      <c r="L41" s="5" t="n"/>
      <c r="M41" s="5" t="n"/>
      <c r="N41" s="5" t="n"/>
      <c r="O41" s="3" t="n"/>
      <c r="P41" s="3" t="n"/>
      <c r="Q41" s="5" t="n"/>
      <c r="R41" s="5" t="n"/>
      <c r="S41" s="3" t="n"/>
      <c r="T41" s="3" t="n"/>
      <c r="U41" s="3" t="n"/>
      <c r="V41" s="3" t="n"/>
      <c r="W41" s="3" t="n"/>
      <c r="X41" s="3" t="n"/>
      <c r="Y41" s="3" t="n"/>
      <c r="Z41" s="6">
        <f>IF(F41="","",ROUND(F41/3.305785,1))</f>
        <v/>
      </c>
      <c r="AA41" s="6">
        <f>IF(OR(G41="",I41=""),"",ROUND(I41/G41*100,1))</f>
        <v/>
      </c>
      <c r="AB41" s="7">
        <f>IF(OR(Z41="",I41=""),"",ROUND(I41/Z41,0))</f>
        <v/>
      </c>
      <c r="AC41" s="7">
        <f>IF(I41="","",FLOOR(I41*IF(T41&lt;&gt;"",T41,IF(E41="농지",3,4))/100,10))</f>
        <v/>
      </c>
      <c r="AD41" s="7">
        <f>IF(I41="","",FLOOR(I41*IF(T41&lt;&gt;"",N(U41),0.2)/100,10))</f>
        <v/>
      </c>
      <c r="AE41" s="7">
        <f>IF(I41="","",FLOOR(I41*IF(T41&lt;&gt;"",N(V41),(IF(E41="농지",3,4)-2)*0.2)/100,10))</f>
        <v/>
      </c>
      <c r="AF41" s="7">
        <f>IF(N41="","",ROUND(N41*N(O41)/100*N(P41)/12,0))</f>
        <v/>
      </c>
      <c r="AG41" s="7">
        <f>IF(I41="","",I41+AC41+AD41+AE41+N(K41)+N(L41)+N(M41)+N(Q41)+N(AF41))</f>
        <v/>
      </c>
      <c r="AH41" s="7">
        <f>IF(OR(R41="",S41=""),"",ROUND(R41*S41/100,0))</f>
        <v/>
      </c>
      <c r="AI41" s="7">
        <f>IF(OR(AG41="",R41=""),"",R41-N(AH41)-AG41)</f>
        <v/>
      </c>
      <c r="AJ41" s="6">
        <f>IF(AI41="","",ROUND(AI41/AG41*100,1))</f>
        <v/>
      </c>
    </row>
    <row r="42">
      <c r="A42" s="3" t="n"/>
      <c r="B42" s="3" t="n"/>
      <c r="C42" s="4" t="n"/>
      <c r="D42" s="3" t="n"/>
      <c r="E42" s="3" t="n"/>
      <c r="F42" s="3" t="n"/>
      <c r="G42" s="5" t="n"/>
      <c r="H42" s="5" t="n"/>
      <c r="I42" s="5" t="n"/>
      <c r="J42" s="5" t="n"/>
      <c r="K42" s="5" t="n"/>
      <c r="L42" s="5" t="n"/>
      <c r="M42" s="5" t="n"/>
      <c r="N42" s="5" t="n"/>
      <c r="O42" s="3" t="n"/>
      <c r="P42" s="3" t="n"/>
      <c r="Q42" s="5" t="n"/>
      <c r="R42" s="5" t="n"/>
      <c r="S42" s="3" t="n"/>
      <c r="T42" s="3" t="n"/>
      <c r="U42" s="3" t="n"/>
      <c r="V42" s="3" t="n"/>
      <c r="W42" s="3" t="n"/>
      <c r="X42" s="3" t="n"/>
      <c r="Y42" s="3" t="n"/>
      <c r="Z42" s="6">
        <f>IF(F42="","",ROUND(F42/3.305785,1))</f>
        <v/>
      </c>
      <c r="AA42" s="6">
        <f>IF(OR(G42="",I42=""),"",ROUND(I42/G42*100,1))</f>
        <v/>
      </c>
      <c r="AB42" s="7">
        <f>IF(OR(Z42="",I42=""),"",ROUND(I42/Z42,0))</f>
        <v/>
      </c>
      <c r="AC42" s="7">
        <f>IF(I42="","",FLOOR(I42*IF(T42&lt;&gt;"",T42,IF(E42="농지",3,4))/100,10))</f>
        <v/>
      </c>
      <c r="AD42" s="7">
        <f>IF(I42="","",FLOOR(I42*IF(T42&lt;&gt;"",N(U42),0.2)/100,10))</f>
        <v/>
      </c>
      <c r="AE42" s="7">
        <f>IF(I42="","",FLOOR(I42*IF(T42&lt;&gt;"",N(V42),(IF(E42="농지",3,4)-2)*0.2)/100,10))</f>
        <v/>
      </c>
      <c r="AF42" s="7">
        <f>IF(N42="","",ROUND(N42*N(O42)/100*N(P42)/12,0))</f>
        <v/>
      </c>
      <c r="AG42" s="7">
        <f>IF(I42="","",I42+AC42+AD42+AE42+N(K42)+N(L42)+N(M42)+N(Q42)+N(AF42))</f>
        <v/>
      </c>
      <c r="AH42" s="7">
        <f>IF(OR(R42="",S42=""),"",ROUND(R42*S42/100,0))</f>
        <v/>
      </c>
      <c r="AI42" s="7">
        <f>IF(OR(AG42="",R42=""),"",R42-N(AH42)-AG42)</f>
        <v/>
      </c>
      <c r="AJ42" s="6">
        <f>IF(AI42="","",ROUND(AI42/AG42*100,1))</f>
        <v/>
      </c>
    </row>
    <row r="43">
      <c r="A43" s="3" t="n"/>
      <c r="B43" s="3" t="n"/>
      <c r="C43" s="4" t="n"/>
      <c r="D43" s="3" t="n"/>
      <c r="E43" s="3" t="n"/>
      <c r="F43" s="3" t="n"/>
      <c r="G43" s="5" t="n"/>
      <c r="H43" s="5" t="n"/>
      <c r="I43" s="5" t="n"/>
      <c r="J43" s="5" t="n"/>
      <c r="K43" s="5" t="n"/>
      <c r="L43" s="5" t="n"/>
      <c r="M43" s="5" t="n"/>
      <c r="N43" s="5" t="n"/>
      <c r="O43" s="3" t="n"/>
      <c r="P43" s="3" t="n"/>
      <c r="Q43" s="5" t="n"/>
      <c r="R43" s="5" t="n"/>
      <c r="S43" s="3" t="n"/>
      <c r="T43" s="3" t="n"/>
      <c r="U43" s="3" t="n"/>
      <c r="V43" s="3" t="n"/>
      <c r="W43" s="3" t="n"/>
      <c r="X43" s="3" t="n"/>
      <c r="Y43" s="3" t="n"/>
      <c r="Z43" s="6">
        <f>IF(F43="","",ROUND(F43/3.305785,1))</f>
        <v/>
      </c>
      <c r="AA43" s="6">
        <f>IF(OR(G43="",I43=""),"",ROUND(I43/G43*100,1))</f>
        <v/>
      </c>
      <c r="AB43" s="7">
        <f>IF(OR(Z43="",I43=""),"",ROUND(I43/Z43,0))</f>
        <v/>
      </c>
      <c r="AC43" s="7">
        <f>IF(I43="","",FLOOR(I43*IF(T43&lt;&gt;"",T43,IF(E43="농지",3,4))/100,10))</f>
        <v/>
      </c>
      <c r="AD43" s="7">
        <f>IF(I43="","",FLOOR(I43*IF(T43&lt;&gt;"",N(U43),0.2)/100,10))</f>
        <v/>
      </c>
      <c r="AE43" s="7">
        <f>IF(I43="","",FLOOR(I43*IF(T43&lt;&gt;"",N(V43),(IF(E43="농지",3,4)-2)*0.2)/100,10))</f>
        <v/>
      </c>
      <c r="AF43" s="7">
        <f>IF(N43="","",ROUND(N43*N(O43)/100*N(P43)/12,0))</f>
        <v/>
      </c>
      <c r="AG43" s="7">
        <f>IF(I43="","",I43+AC43+AD43+AE43+N(K43)+N(L43)+N(M43)+N(Q43)+N(AF43))</f>
        <v/>
      </c>
      <c r="AH43" s="7">
        <f>IF(OR(R43="",S43=""),"",ROUND(R43*S43/100,0))</f>
        <v/>
      </c>
      <c r="AI43" s="7">
        <f>IF(OR(AG43="",R43=""),"",R43-N(AH43)-AG43)</f>
        <v/>
      </c>
      <c r="AJ43" s="6">
        <f>IF(AI43="","",ROUND(AI43/AG43*100,1))</f>
        <v/>
      </c>
    </row>
    <row r="44">
      <c r="A44" s="3" t="n"/>
      <c r="B44" s="3" t="n"/>
      <c r="C44" s="4" t="n"/>
      <c r="D44" s="3" t="n"/>
      <c r="E44" s="3" t="n"/>
      <c r="F44" s="3" t="n"/>
      <c r="G44" s="5" t="n"/>
      <c r="H44" s="5" t="n"/>
      <c r="I44" s="5" t="n"/>
      <c r="J44" s="5" t="n"/>
      <c r="K44" s="5" t="n"/>
      <c r="L44" s="5" t="n"/>
      <c r="M44" s="5" t="n"/>
      <c r="N44" s="5" t="n"/>
      <c r="O44" s="3" t="n"/>
      <c r="P44" s="3" t="n"/>
      <c r="Q44" s="5" t="n"/>
      <c r="R44" s="5" t="n"/>
      <c r="S44" s="3" t="n"/>
      <c r="T44" s="3" t="n"/>
      <c r="U44" s="3" t="n"/>
      <c r="V44" s="3" t="n"/>
      <c r="W44" s="3" t="n"/>
      <c r="X44" s="3" t="n"/>
      <c r="Y44" s="3" t="n"/>
      <c r="Z44" s="6">
        <f>IF(F44="","",ROUND(F44/3.305785,1))</f>
        <v/>
      </c>
      <c r="AA44" s="6">
        <f>IF(OR(G44="",I44=""),"",ROUND(I44/G44*100,1))</f>
        <v/>
      </c>
      <c r="AB44" s="7">
        <f>IF(OR(Z44="",I44=""),"",ROUND(I44/Z44,0))</f>
        <v/>
      </c>
      <c r="AC44" s="7">
        <f>IF(I44="","",FLOOR(I44*IF(T44&lt;&gt;"",T44,IF(E44="농지",3,4))/100,10))</f>
        <v/>
      </c>
      <c r="AD44" s="7">
        <f>IF(I44="","",FLOOR(I44*IF(T44&lt;&gt;"",N(U44),0.2)/100,10))</f>
        <v/>
      </c>
      <c r="AE44" s="7">
        <f>IF(I44="","",FLOOR(I44*IF(T44&lt;&gt;"",N(V44),(IF(E44="농지",3,4)-2)*0.2)/100,10))</f>
        <v/>
      </c>
      <c r="AF44" s="7">
        <f>IF(N44="","",ROUND(N44*N(O44)/100*N(P44)/12,0))</f>
        <v/>
      </c>
      <c r="AG44" s="7">
        <f>IF(I44="","",I44+AC44+AD44+AE44+N(K44)+N(L44)+N(M44)+N(Q44)+N(AF44))</f>
        <v/>
      </c>
      <c r="AH44" s="7">
        <f>IF(OR(R44="",S44=""),"",ROUND(R44*S44/100,0))</f>
        <v/>
      </c>
      <c r="AI44" s="7">
        <f>IF(OR(AG44="",R44=""),"",R44-N(AH44)-AG44)</f>
        <v/>
      </c>
      <c r="AJ44" s="6">
        <f>IF(AI44="","",ROUND(AI44/AG44*100,1))</f>
        <v/>
      </c>
    </row>
    <row r="45">
      <c r="A45" s="3" t="n"/>
      <c r="B45" s="3" t="n"/>
      <c r="C45" s="4" t="n"/>
      <c r="D45" s="3" t="n"/>
      <c r="E45" s="3" t="n"/>
      <c r="F45" s="3" t="n"/>
      <c r="G45" s="5" t="n"/>
      <c r="H45" s="5" t="n"/>
      <c r="I45" s="5" t="n"/>
      <c r="J45" s="5" t="n"/>
      <c r="K45" s="5" t="n"/>
      <c r="L45" s="5" t="n"/>
      <c r="M45" s="5" t="n"/>
      <c r="N45" s="5" t="n"/>
      <c r="O45" s="3" t="n"/>
      <c r="P45" s="3" t="n"/>
      <c r="Q45" s="5" t="n"/>
      <c r="R45" s="5" t="n"/>
      <c r="S45" s="3" t="n"/>
      <c r="T45" s="3" t="n"/>
      <c r="U45" s="3" t="n"/>
      <c r="V45" s="3" t="n"/>
      <c r="W45" s="3" t="n"/>
      <c r="X45" s="3" t="n"/>
      <c r="Y45" s="3" t="n"/>
      <c r="Z45" s="6">
        <f>IF(F45="","",ROUND(F45/3.305785,1))</f>
        <v/>
      </c>
      <c r="AA45" s="6">
        <f>IF(OR(G45="",I45=""),"",ROUND(I45/G45*100,1))</f>
        <v/>
      </c>
      <c r="AB45" s="7">
        <f>IF(OR(Z45="",I45=""),"",ROUND(I45/Z45,0))</f>
        <v/>
      </c>
      <c r="AC45" s="7">
        <f>IF(I45="","",FLOOR(I45*IF(T45&lt;&gt;"",T45,IF(E45="농지",3,4))/100,10))</f>
        <v/>
      </c>
      <c r="AD45" s="7">
        <f>IF(I45="","",FLOOR(I45*IF(T45&lt;&gt;"",N(U45),0.2)/100,10))</f>
        <v/>
      </c>
      <c r="AE45" s="7">
        <f>IF(I45="","",FLOOR(I45*IF(T45&lt;&gt;"",N(V45),(IF(E45="농지",3,4)-2)*0.2)/100,10))</f>
        <v/>
      </c>
      <c r="AF45" s="7">
        <f>IF(N45="","",ROUND(N45*N(O45)/100*N(P45)/12,0))</f>
        <v/>
      </c>
      <c r="AG45" s="7">
        <f>IF(I45="","",I45+AC45+AD45+AE45+N(K45)+N(L45)+N(M45)+N(Q45)+N(AF45))</f>
        <v/>
      </c>
      <c r="AH45" s="7">
        <f>IF(OR(R45="",S45=""),"",ROUND(R45*S45/100,0))</f>
        <v/>
      </c>
      <c r="AI45" s="7">
        <f>IF(OR(AG45="",R45=""),"",R45-N(AH45)-AG45)</f>
        <v/>
      </c>
      <c r="AJ45" s="6">
        <f>IF(AI45="","",ROUND(AI45/AG45*100,1))</f>
        <v/>
      </c>
    </row>
    <row r="46">
      <c r="A46" s="3" t="n"/>
      <c r="B46" s="3" t="n"/>
      <c r="C46" s="4" t="n"/>
      <c r="D46" s="3" t="n"/>
      <c r="E46" s="3" t="n"/>
      <c r="F46" s="3" t="n"/>
      <c r="G46" s="5" t="n"/>
      <c r="H46" s="5" t="n"/>
      <c r="I46" s="5" t="n"/>
      <c r="J46" s="5" t="n"/>
      <c r="K46" s="5" t="n"/>
      <c r="L46" s="5" t="n"/>
      <c r="M46" s="5" t="n"/>
      <c r="N46" s="5" t="n"/>
      <c r="O46" s="3" t="n"/>
      <c r="P46" s="3" t="n"/>
      <c r="Q46" s="5" t="n"/>
      <c r="R46" s="5" t="n"/>
      <c r="S46" s="3" t="n"/>
      <c r="T46" s="3" t="n"/>
      <c r="U46" s="3" t="n"/>
      <c r="V46" s="3" t="n"/>
      <c r="W46" s="3" t="n"/>
      <c r="X46" s="3" t="n"/>
      <c r="Y46" s="3" t="n"/>
      <c r="Z46" s="6">
        <f>IF(F46="","",ROUND(F46/3.305785,1))</f>
        <v/>
      </c>
      <c r="AA46" s="6">
        <f>IF(OR(G46="",I46=""),"",ROUND(I46/G46*100,1))</f>
        <v/>
      </c>
      <c r="AB46" s="7">
        <f>IF(OR(Z46="",I46=""),"",ROUND(I46/Z46,0))</f>
        <v/>
      </c>
      <c r="AC46" s="7">
        <f>IF(I46="","",FLOOR(I46*IF(T46&lt;&gt;"",T46,IF(E46="농지",3,4))/100,10))</f>
        <v/>
      </c>
      <c r="AD46" s="7">
        <f>IF(I46="","",FLOOR(I46*IF(T46&lt;&gt;"",N(U46),0.2)/100,10))</f>
        <v/>
      </c>
      <c r="AE46" s="7">
        <f>IF(I46="","",FLOOR(I46*IF(T46&lt;&gt;"",N(V46),(IF(E46="농지",3,4)-2)*0.2)/100,10))</f>
        <v/>
      </c>
      <c r="AF46" s="7">
        <f>IF(N46="","",ROUND(N46*N(O46)/100*N(P46)/12,0))</f>
        <v/>
      </c>
      <c r="AG46" s="7">
        <f>IF(I46="","",I46+AC46+AD46+AE46+N(K46)+N(L46)+N(M46)+N(Q46)+N(AF46))</f>
        <v/>
      </c>
      <c r="AH46" s="7">
        <f>IF(OR(R46="",S46=""),"",ROUND(R46*S46/100,0))</f>
        <v/>
      </c>
      <c r="AI46" s="7">
        <f>IF(OR(AG46="",R46=""),"",R46-N(AH46)-AG46)</f>
        <v/>
      </c>
      <c r="AJ46" s="6">
        <f>IF(AI46="","",ROUND(AI46/AG46*100,1))</f>
        <v/>
      </c>
    </row>
    <row r="47">
      <c r="A47" s="3" t="n"/>
      <c r="B47" s="3" t="n"/>
      <c r="C47" s="4" t="n"/>
      <c r="D47" s="3" t="n"/>
      <c r="E47" s="3" t="n"/>
      <c r="F47" s="3" t="n"/>
      <c r="G47" s="5" t="n"/>
      <c r="H47" s="5" t="n"/>
      <c r="I47" s="5" t="n"/>
      <c r="J47" s="5" t="n"/>
      <c r="K47" s="5" t="n"/>
      <c r="L47" s="5" t="n"/>
      <c r="M47" s="5" t="n"/>
      <c r="N47" s="5" t="n"/>
      <c r="O47" s="3" t="n"/>
      <c r="P47" s="3" t="n"/>
      <c r="Q47" s="5" t="n"/>
      <c r="R47" s="5" t="n"/>
      <c r="S47" s="3" t="n"/>
      <c r="T47" s="3" t="n"/>
      <c r="U47" s="3" t="n"/>
      <c r="V47" s="3" t="n"/>
      <c r="W47" s="3" t="n"/>
      <c r="X47" s="3" t="n"/>
      <c r="Y47" s="3" t="n"/>
      <c r="Z47" s="6">
        <f>IF(F47="","",ROUND(F47/3.305785,1))</f>
        <v/>
      </c>
      <c r="AA47" s="6">
        <f>IF(OR(G47="",I47=""),"",ROUND(I47/G47*100,1))</f>
        <v/>
      </c>
      <c r="AB47" s="7">
        <f>IF(OR(Z47="",I47=""),"",ROUND(I47/Z47,0))</f>
        <v/>
      </c>
      <c r="AC47" s="7">
        <f>IF(I47="","",FLOOR(I47*IF(T47&lt;&gt;"",T47,IF(E47="농지",3,4))/100,10))</f>
        <v/>
      </c>
      <c r="AD47" s="7">
        <f>IF(I47="","",FLOOR(I47*IF(T47&lt;&gt;"",N(U47),0.2)/100,10))</f>
        <v/>
      </c>
      <c r="AE47" s="7">
        <f>IF(I47="","",FLOOR(I47*IF(T47&lt;&gt;"",N(V47),(IF(E47="농지",3,4)-2)*0.2)/100,10))</f>
        <v/>
      </c>
      <c r="AF47" s="7">
        <f>IF(N47="","",ROUND(N47*N(O47)/100*N(P47)/12,0))</f>
        <v/>
      </c>
      <c r="AG47" s="7">
        <f>IF(I47="","",I47+AC47+AD47+AE47+N(K47)+N(L47)+N(M47)+N(Q47)+N(AF47))</f>
        <v/>
      </c>
      <c r="AH47" s="7">
        <f>IF(OR(R47="",S47=""),"",ROUND(R47*S47/100,0))</f>
        <v/>
      </c>
      <c r="AI47" s="7">
        <f>IF(OR(AG47="",R47=""),"",R47-N(AH47)-AG47)</f>
        <v/>
      </c>
      <c r="AJ47" s="6">
        <f>IF(AI47="","",ROUND(AI47/AG47*100,1))</f>
        <v/>
      </c>
    </row>
    <row r="48">
      <c r="A48" s="3" t="n"/>
      <c r="B48" s="3" t="n"/>
      <c r="C48" s="4" t="n"/>
      <c r="D48" s="3" t="n"/>
      <c r="E48" s="3" t="n"/>
      <c r="F48" s="3" t="n"/>
      <c r="G48" s="5" t="n"/>
      <c r="H48" s="5" t="n"/>
      <c r="I48" s="5" t="n"/>
      <c r="J48" s="5" t="n"/>
      <c r="K48" s="5" t="n"/>
      <c r="L48" s="5" t="n"/>
      <c r="M48" s="5" t="n"/>
      <c r="N48" s="5" t="n"/>
      <c r="O48" s="3" t="n"/>
      <c r="P48" s="3" t="n"/>
      <c r="Q48" s="5" t="n"/>
      <c r="R48" s="5" t="n"/>
      <c r="S48" s="3" t="n"/>
      <c r="T48" s="3" t="n"/>
      <c r="U48" s="3" t="n"/>
      <c r="V48" s="3" t="n"/>
      <c r="W48" s="3" t="n"/>
      <c r="X48" s="3" t="n"/>
      <c r="Y48" s="3" t="n"/>
      <c r="Z48" s="6">
        <f>IF(F48="","",ROUND(F48/3.305785,1))</f>
        <v/>
      </c>
      <c r="AA48" s="6">
        <f>IF(OR(G48="",I48=""),"",ROUND(I48/G48*100,1))</f>
        <v/>
      </c>
      <c r="AB48" s="7">
        <f>IF(OR(Z48="",I48=""),"",ROUND(I48/Z48,0))</f>
        <v/>
      </c>
      <c r="AC48" s="7">
        <f>IF(I48="","",FLOOR(I48*IF(T48&lt;&gt;"",T48,IF(E48="농지",3,4))/100,10))</f>
        <v/>
      </c>
      <c r="AD48" s="7">
        <f>IF(I48="","",FLOOR(I48*IF(T48&lt;&gt;"",N(U48),0.2)/100,10))</f>
        <v/>
      </c>
      <c r="AE48" s="7">
        <f>IF(I48="","",FLOOR(I48*IF(T48&lt;&gt;"",N(V48),(IF(E48="농지",3,4)-2)*0.2)/100,10))</f>
        <v/>
      </c>
      <c r="AF48" s="7">
        <f>IF(N48="","",ROUND(N48*N(O48)/100*N(P48)/12,0))</f>
        <v/>
      </c>
      <c r="AG48" s="7">
        <f>IF(I48="","",I48+AC48+AD48+AE48+N(K48)+N(L48)+N(M48)+N(Q48)+N(AF48))</f>
        <v/>
      </c>
      <c r="AH48" s="7">
        <f>IF(OR(R48="",S48=""),"",ROUND(R48*S48/100,0))</f>
        <v/>
      </c>
      <c r="AI48" s="7">
        <f>IF(OR(AG48="",R48=""),"",R48-N(AH48)-AG48)</f>
        <v/>
      </c>
      <c r="AJ48" s="6">
        <f>IF(AI48="","",ROUND(AI48/AG48*100,1))</f>
        <v/>
      </c>
    </row>
    <row r="49">
      <c r="A49" s="3" t="n"/>
      <c r="B49" s="3" t="n"/>
      <c r="C49" s="4" t="n"/>
      <c r="D49" s="3" t="n"/>
      <c r="E49" s="3" t="n"/>
      <c r="F49" s="3" t="n"/>
      <c r="G49" s="5" t="n"/>
      <c r="H49" s="5" t="n"/>
      <c r="I49" s="5" t="n"/>
      <c r="J49" s="5" t="n"/>
      <c r="K49" s="5" t="n"/>
      <c r="L49" s="5" t="n"/>
      <c r="M49" s="5" t="n"/>
      <c r="N49" s="5" t="n"/>
      <c r="O49" s="3" t="n"/>
      <c r="P49" s="3" t="n"/>
      <c r="Q49" s="5" t="n"/>
      <c r="R49" s="5" t="n"/>
      <c r="S49" s="3" t="n"/>
      <c r="T49" s="3" t="n"/>
      <c r="U49" s="3" t="n"/>
      <c r="V49" s="3" t="n"/>
      <c r="W49" s="3" t="n"/>
      <c r="X49" s="3" t="n"/>
      <c r="Y49" s="3" t="n"/>
      <c r="Z49" s="6">
        <f>IF(F49="","",ROUND(F49/3.305785,1))</f>
        <v/>
      </c>
      <c r="AA49" s="6">
        <f>IF(OR(G49="",I49=""),"",ROUND(I49/G49*100,1))</f>
        <v/>
      </c>
      <c r="AB49" s="7">
        <f>IF(OR(Z49="",I49=""),"",ROUND(I49/Z49,0))</f>
        <v/>
      </c>
      <c r="AC49" s="7">
        <f>IF(I49="","",FLOOR(I49*IF(T49&lt;&gt;"",T49,IF(E49="농지",3,4))/100,10))</f>
        <v/>
      </c>
      <c r="AD49" s="7">
        <f>IF(I49="","",FLOOR(I49*IF(T49&lt;&gt;"",N(U49),0.2)/100,10))</f>
        <v/>
      </c>
      <c r="AE49" s="7">
        <f>IF(I49="","",FLOOR(I49*IF(T49&lt;&gt;"",N(V49),(IF(E49="농지",3,4)-2)*0.2)/100,10))</f>
        <v/>
      </c>
      <c r="AF49" s="7">
        <f>IF(N49="","",ROUND(N49*N(O49)/100*N(P49)/12,0))</f>
        <v/>
      </c>
      <c r="AG49" s="7">
        <f>IF(I49="","",I49+AC49+AD49+AE49+N(K49)+N(L49)+N(M49)+N(Q49)+N(AF49))</f>
        <v/>
      </c>
      <c r="AH49" s="7">
        <f>IF(OR(R49="",S49=""),"",ROUND(R49*S49/100,0))</f>
        <v/>
      </c>
      <c r="AI49" s="7">
        <f>IF(OR(AG49="",R49=""),"",R49-N(AH49)-AG49)</f>
        <v/>
      </c>
      <c r="AJ49" s="6">
        <f>IF(AI49="","",ROUND(AI49/AG49*100,1))</f>
        <v/>
      </c>
    </row>
    <row r="50">
      <c r="A50" s="3" t="n"/>
      <c r="B50" s="3" t="n"/>
      <c r="C50" s="4" t="n"/>
      <c r="D50" s="3" t="n"/>
      <c r="E50" s="3" t="n"/>
      <c r="F50" s="3" t="n"/>
      <c r="G50" s="5" t="n"/>
      <c r="H50" s="5" t="n"/>
      <c r="I50" s="5" t="n"/>
      <c r="J50" s="5" t="n"/>
      <c r="K50" s="5" t="n"/>
      <c r="L50" s="5" t="n"/>
      <c r="M50" s="5" t="n"/>
      <c r="N50" s="5" t="n"/>
      <c r="O50" s="3" t="n"/>
      <c r="P50" s="3" t="n"/>
      <c r="Q50" s="5" t="n"/>
      <c r="R50" s="5" t="n"/>
      <c r="S50" s="3" t="n"/>
      <c r="T50" s="3" t="n"/>
      <c r="U50" s="3" t="n"/>
      <c r="V50" s="3" t="n"/>
      <c r="W50" s="3" t="n"/>
      <c r="X50" s="3" t="n"/>
      <c r="Y50" s="3" t="n"/>
      <c r="Z50" s="6">
        <f>IF(F50="","",ROUND(F50/3.305785,1))</f>
        <v/>
      </c>
      <c r="AA50" s="6">
        <f>IF(OR(G50="",I50=""),"",ROUND(I50/G50*100,1))</f>
        <v/>
      </c>
      <c r="AB50" s="7">
        <f>IF(OR(Z50="",I50=""),"",ROUND(I50/Z50,0))</f>
        <v/>
      </c>
      <c r="AC50" s="7">
        <f>IF(I50="","",FLOOR(I50*IF(T50&lt;&gt;"",T50,IF(E50="농지",3,4))/100,10))</f>
        <v/>
      </c>
      <c r="AD50" s="7">
        <f>IF(I50="","",FLOOR(I50*IF(T50&lt;&gt;"",N(U50),0.2)/100,10))</f>
        <v/>
      </c>
      <c r="AE50" s="7">
        <f>IF(I50="","",FLOOR(I50*IF(T50&lt;&gt;"",N(V50),(IF(E50="농지",3,4)-2)*0.2)/100,10))</f>
        <v/>
      </c>
      <c r="AF50" s="7">
        <f>IF(N50="","",ROUND(N50*N(O50)/100*N(P50)/12,0))</f>
        <v/>
      </c>
      <c r="AG50" s="7">
        <f>IF(I50="","",I50+AC50+AD50+AE50+N(K50)+N(L50)+N(M50)+N(Q50)+N(AF50))</f>
        <v/>
      </c>
      <c r="AH50" s="7">
        <f>IF(OR(R50="",S50=""),"",ROUND(R50*S50/100,0))</f>
        <v/>
      </c>
      <c r="AI50" s="7">
        <f>IF(OR(AG50="",R50=""),"",R50-N(AH50)-AG50)</f>
        <v/>
      </c>
      <c r="AJ50" s="6">
        <f>IF(AI50="","",ROUND(AI50/AG50*100,1))</f>
        <v/>
      </c>
    </row>
    <row r="51">
      <c r="A51" s="3" t="n"/>
      <c r="B51" s="3" t="n"/>
      <c r="C51" s="4" t="n"/>
      <c r="D51" s="3" t="n"/>
      <c r="E51" s="3" t="n"/>
      <c r="F51" s="3" t="n"/>
      <c r="G51" s="5" t="n"/>
      <c r="H51" s="5" t="n"/>
      <c r="I51" s="5" t="n"/>
      <c r="J51" s="5" t="n"/>
      <c r="K51" s="5" t="n"/>
      <c r="L51" s="5" t="n"/>
      <c r="M51" s="5" t="n"/>
      <c r="N51" s="5" t="n"/>
      <c r="O51" s="3" t="n"/>
      <c r="P51" s="3" t="n"/>
      <c r="Q51" s="5" t="n"/>
      <c r="R51" s="5" t="n"/>
      <c r="S51" s="3" t="n"/>
      <c r="T51" s="3" t="n"/>
      <c r="U51" s="3" t="n"/>
      <c r="V51" s="3" t="n"/>
      <c r="W51" s="3" t="n"/>
      <c r="X51" s="3" t="n"/>
      <c r="Y51" s="3" t="n"/>
      <c r="Z51" s="6">
        <f>IF(F51="","",ROUND(F51/3.305785,1))</f>
        <v/>
      </c>
      <c r="AA51" s="6">
        <f>IF(OR(G51="",I51=""),"",ROUND(I51/G51*100,1))</f>
        <v/>
      </c>
      <c r="AB51" s="7">
        <f>IF(OR(Z51="",I51=""),"",ROUND(I51/Z51,0))</f>
        <v/>
      </c>
      <c r="AC51" s="7">
        <f>IF(I51="","",FLOOR(I51*IF(T51&lt;&gt;"",T51,IF(E51="농지",3,4))/100,10))</f>
        <v/>
      </c>
      <c r="AD51" s="7">
        <f>IF(I51="","",FLOOR(I51*IF(T51&lt;&gt;"",N(U51),0.2)/100,10))</f>
        <v/>
      </c>
      <c r="AE51" s="7">
        <f>IF(I51="","",FLOOR(I51*IF(T51&lt;&gt;"",N(V51),(IF(E51="농지",3,4)-2)*0.2)/100,10))</f>
        <v/>
      </c>
      <c r="AF51" s="7">
        <f>IF(N51="","",ROUND(N51*N(O51)/100*N(P51)/12,0))</f>
        <v/>
      </c>
      <c r="AG51" s="7">
        <f>IF(I51="","",I51+AC51+AD51+AE51+N(K51)+N(L51)+N(M51)+N(Q51)+N(AF51))</f>
        <v/>
      </c>
      <c r="AH51" s="7">
        <f>IF(OR(R51="",S51=""),"",ROUND(R51*S51/100,0))</f>
        <v/>
      </c>
      <c r="AI51" s="7">
        <f>IF(OR(AG51="",R51=""),"",R51-N(AH51)-AG51)</f>
        <v/>
      </c>
      <c r="AJ51" s="6">
        <f>IF(AI51="","",ROUND(AI51/AG51*100,1))</f>
        <v/>
      </c>
    </row>
    <row r="52">
      <c r="A52" s="3" t="n"/>
      <c r="B52" s="3" t="n"/>
      <c r="C52" s="4" t="n"/>
      <c r="D52" s="3" t="n"/>
      <c r="E52" s="3" t="n"/>
      <c r="F52" s="3" t="n"/>
      <c r="G52" s="5" t="n"/>
      <c r="H52" s="5" t="n"/>
      <c r="I52" s="5" t="n"/>
      <c r="J52" s="5" t="n"/>
      <c r="K52" s="5" t="n"/>
      <c r="L52" s="5" t="n"/>
      <c r="M52" s="5" t="n"/>
      <c r="N52" s="5" t="n"/>
      <c r="O52" s="3" t="n"/>
      <c r="P52" s="3" t="n"/>
      <c r="Q52" s="5" t="n"/>
      <c r="R52" s="5" t="n"/>
      <c r="S52" s="3" t="n"/>
      <c r="T52" s="3" t="n"/>
      <c r="U52" s="3" t="n"/>
      <c r="V52" s="3" t="n"/>
      <c r="W52" s="3" t="n"/>
      <c r="X52" s="3" t="n"/>
      <c r="Y52" s="3" t="n"/>
      <c r="Z52" s="6">
        <f>IF(F52="","",ROUND(F52/3.305785,1))</f>
        <v/>
      </c>
      <c r="AA52" s="6">
        <f>IF(OR(G52="",I52=""),"",ROUND(I52/G52*100,1))</f>
        <v/>
      </c>
      <c r="AB52" s="7">
        <f>IF(OR(Z52="",I52=""),"",ROUND(I52/Z52,0))</f>
        <v/>
      </c>
      <c r="AC52" s="7">
        <f>IF(I52="","",FLOOR(I52*IF(T52&lt;&gt;"",T52,IF(E52="농지",3,4))/100,10))</f>
        <v/>
      </c>
      <c r="AD52" s="7">
        <f>IF(I52="","",FLOOR(I52*IF(T52&lt;&gt;"",N(U52),0.2)/100,10))</f>
        <v/>
      </c>
      <c r="AE52" s="7">
        <f>IF(I52="","",FLOOR(I52*IF(T52&lt;&gt;"",N(V52),(IF(E52="농지",3,4)-2)*0.2)/100,10))</f>
        <v/>
      </c>
      <c r="AF52" s="7">
        <f>IF(N52="","",ROUND(N52*N(O52)/100*N(P52)/12,0))</f>
        <v/>
      </c>
      <c r="AG52" s="7">
        <f>IF(I52="","",I52+AC52+AD52+AE52+N(K52)+N(L52)+N(M52)+N(Q52)+N(AF52))</f>
        <v/>
      </c>
      <c r="AH52" s="7">
        <f>IF(OR(R52="",S52=""),"",ROUND(R52*S52/100,0))</f>
        <v/>
      </c>
      <c r="AI52" s="7">
        <f>IF(OR(AG52="",R52=""),"",R52-N(AH52)-AG52)</f>
        <v/>
      </c>
      <c r="AJ52" s="6">
        <f>IF(AI52="","",ROUND(AI52/AG52*100,1))</f>
        <v/>
      </c>
    </row>
    <row r="53">
      <c r="A53" s="3" t="n"/>
      <c r="B53" s="3" t="n"/>
      <c r="C53" s="4" t="n"/>
      <c r="D53" s="3" t="n"/>
      <c r="E53" s="3" t="n"/>
      <c r="F53" s="3" t="n"/>
      <c r="G53" s="5" t="n"/>
      <c r="H53" s="5" t="n"/>
      <c r="I53" s="5" t="n"/>
      <c r="J53" s="5" t="n"/>
      <c r="K53" s="5" t="n"/>
      <c r="L53" s="5" t="n"/>
      <c r="M53" s="5" t="n"/>
      <c r="N53" s="5" t="n"/>
      <c r="O53" s="3" t="n"/>
      <c r="P53" s="3" t="n"/>
      <c r="Q53" s="5" t="n"/>
      <c r="R53" s="5" t="n"/>
      <c r="S53" s="3" t="n"/>
      <c r="T53" s="3" t="n"/>
      <c r="U53" s="3" t="n"/>
      <c r="V53" s="3" t="n"/>
      <c r="W53" s="3" t="n"/>
      <c r="X53" s="3" t="n"/>
      <c r="Y53" s="3" t="n"/>
      <c r="Z53" s="6">
        <f>IF(F53="","",ROUND(F53/3.305785,1))</f>
        <v/>
      </c>
      <c r="AA53" s="6">
        <f>IF(OR(G53="",I53=""),"",ROUND(I53/G53*100,1))</f>
        <v/>
      </c>
      <c r="AB53" s="7">
        <f>IF(OR(Z53="",I53=""),"",ROUND(I53/Z53,0))</f>
        <v/>
      </c>
      <c r="AC53" s="7">
        <f>IF(I53="","",FLOOR(I53*IF(T53&lt;&gt;"",T53,IF(E53="농지",3,4))/100,10))</f>
        <v/>
      </c>
      <c r="AD53" s="7">
        <f>IF(I53="","",FLOOR(I53*IF(T53&lt;&gt;"",N(U53),0.2)/100,10))</f>
        <v/>
      </c>
      <c r="AE53" s="7">
        <f>IF(I53="","",FLOOR(I53*IF(T53&lt;&gt;"",N(V53),(IF(E53="농지",3,4)-2)*0.2)/100,10))</f>
        <v/>
      </c>
      <c r="AF53" s="7">
        <f>IF(N53="","",ROUND(N53*N(O53)/100*N(P53)/12,0))</f>
        <v/>
      </c>
      <c r="AG53" s="7">
        <f>IF(I53="","",I53+AC53+AD53+AE53+N(K53)+N(L53)+N(M53)+N(Q53)+N(AF53))</f>
        <v/>
      </c>
      <c r="AH53" s="7">
        <f>IF(OR(R53="",S53=""),"",ROUND(R53*S53/100,0))</f>
        <v/>
      </c>
      <c r="AI53" s="7">
        <f>IF(OR(AG53="",R53=""),"",R53-N(AH53)-AG53)</f>
        <v/>
      </c>
      <c r="AJ53" s="6">
        <f>IF(AI53="","",ROUND(AI53/AG53*100,1))</f>
        <v/>
      </c>
    </row>
    <row r="54">
      <c r="A54" s="3" t="n"/>
      <c r="B54" s="3" t="n"/>
      <c r="C54" s="4" t="n"/>
      <c r="D54" s="3" t="n"/>
      <c r="E54" s="3" t="n"/>
      <c r="F54" s="3" t="n"/>
      <c r="G54" s="5" t="n"/>
      <c r="H54" s="5" t="n"/>
      <c r="I54" s="5" t="n"/>
      <c r="J54" s="5" t="n"/>
      <c r="K54" s="5" t="n"/>
      <c r="L54" s="5" t="n"/>
      <c r="M54" s="5" t="n"/>
      <c r="N54" s="5" t="n"/>
      <c r="O54" s="3" t="n"/>
      <c r="P54" s="3" t="n"/>
      <c r="Q54" s="5" t="n"/>
      <c r="R54" s="5" t="n"/>
      <c r="S54" s="3" t="n"/>
      <c r="T54" s="3" t="n"/>
      <c r="U54" s="3" t="n"/>
      <c r="V54" s="3" t="n"/>
      <c r="W54" s="3" t="n"/>
      <c r="X54" s="3" t="n"/>
      <c r="Y54" s="3" t="n"/>
      <c r="Z54" s="6">
        <f>IF(F54="","",ROUND(F54/3.305785,1))</f>
        <v/>
      </c>
      <c r="AA54" s="6">
        <f>IF(OR(G54="",I54=""),"",ROUND(I54/G54*100,1))</f>
        <v/>
      </c>
      <c r="AB54" s="7">
        <f>IF(OR(Z54="",I54=""),"",ROUND(I54/Z54,0))</f>
        <v/>
      </c>
      <c r="AC54" s="7">
        <f>IF(I54="","",FLOOR(I54*IF(T54&lt;&gt;"",T54,IF(E54="농지",3,4))/100,10))</f>
        <v/>
      </c>
      <c r="AD54" s="7">
        <f>IF(I54="","",FLOOR(I54*IF(T54&lt;&gt;"",N(U54),0.2)/100,10))</f>
        <v/>
      </c>
      <c r="AE54" s="7">
        <f>IF(I54="","",FLOOR(I54*IF(T54&lt;&gt;"",N(V54),(IF(E54="농지",3,4)-2)*0.2)/100,10))</f>
        <v/>
      </c>
      <c r="AF54" s="7">
        <f>IF(N54="","",ROUND(N54*N(O54)/100*N(P54)/12,0))</f>
        <v/>
      </c>
      <c r="AG54" s="7">
        <f>IF(I54="","",I54+AC54+AD54+AE54+N(K54)+N(L54)+N(M54)+N(Q54)+N(AF54))</f>
        <v/>
      </c>
      <c r="AH54" s="7">
        <f>IF(OR(R54="",S54=""),"",ROUND(R54*S54/100,0))</f>
        <v/>
      </c>
      <c r="AI54" s="7">
        <f>IF(OR(AG54="",R54=""),"",R54-N(AH54)-AG54)</f>
        <v/>
      </c>
      <c r="AJ54" s="6">
        <f>IF(AI54="","",ROUND(AI54/AG54*100,1))</f>
        <v/>
      </c>
    </row>
    <row r="55">
      <c r="A55" s="3" t="n"/>
      <c r="B55" s="3" t="n"/>
      <c r="C55" s="4" t="n"/>
      <c r="D55" s="3" t="n"/>
      <c r="E55" s="3" t="n"/>
      <c r="F55" s="3" t="n"/>
      <c r="G55" s="5" t="n"/>
      <c r="H55" s="5" t="n"/>
      <c r="I55" s="5" t="n"/>
      <c r="J55" s="5" t="n"/>
      <c r="K55" s="5" t="n"/>
      <c r="L55" s="5" t="n"/>
      <c r="M55" s="5" t="n"/>
      <c r="N55" s="5" t="n"/>
      <c r="O55" s="3" t="n"/>
      <c r="P55" s="3" t="n"/>
      <c r="Q55" s="5" t="n"/>
      <c r="R55" s="5" t="n"/>
      <c r="S55" s="3" t="n"/>
      <c r="T55" s="3" t="n"/>
      <c r="U55" s="3" t="n"/>
      <c r="V55" s="3" t="n"/>
      <c r="W55" s="3" t="n"/>
      <c r="X55" s="3" t="n"/>
      <c r="Y55" s="3" t="n"/>
      <c r="Z55" s="6">
        <f>IF(F55="","",ROUND(F55/3.305785,1))</f>
        <v/>
      </c>
      <c r="AA55" s="6">
        <f>IF(OR(G55="",I55=""),"",ROUND(I55/G55*100,1))</f>
        <v/>
      </c>
      <c r="AB55" s="7">
        <f>IF(OR(Z55="",I55=""),"",ROUND(I55/Z55,0))</f>
        <v/>
      </c>
      <c r="AC55" s="7">
        <f>IF(I55="","",FLOOR(I55*IF(T55&lt;&gt;"",T55,IF(E55="농지",3,4))/100,10))</f>
        <v/>
      </c>
      <c r="AD55" s="7">
        <f>IF(I55="","",FLOOR(I55*IF(T55&lt;&gt;"",N(U55),0.2)/100,10))</f>
        <v/>
      </c>
      <c r="AE55" s="7">
        <f>IF(I55="","",FLOOR(I55*IF(T55&lt;&gt;"",N(V55),(IF(E55="농지",3,4)-2)*0.2)/100,10))</f>
        <v/>
      </c>
      <c r="AF55" s="7">
        <f>IF(N55="","",ROUND(N55*N(O55)/100*N(P55)/12,0))</f>
        <v/>
      </c>
      <c r="AG55" s="7">
        <f>IF(I55="","",I55+AC55+AD55+AE55+N(K55)+N(L55)+N(M55)+N(Q55)+N(AF55))</f>
        <v/>
      </c>
      <c r="AH55" s="7">
        <f>IF(OR(R55="",S55=""),"",ROUND(R55*S55/100,0))</f>
        <v/>
      </c>
      <c r="AI55" s="7">
        <f>IF(OR(AG55="",R55=""),"",R55-N(AH55)-AG55)</f>
        <v/>
      </c>
      <c r="AJ55" s="6">
        <f>IF(AI55="","",ROUND(AI55/AG55*100,1))</f>
        <v/>
      </c>
    </row>
    <row r="56">
      <c r="A56" s="3" t="n"/>
      <c r="B56" s="3" t="n"/>
      <c r="C56" s="4" t="n"/>
      <c r="D56" s="3" t="n"/>
      <c r="E56" s="3" t="n"/>
      <c r="F56" s="3" t="n"/>
      <c r="G56" s="5" t="n"/>
      <c r="H56" s="5" t="n"/>
      <c r="I56" s="5" t="n"/>
      <c r="J56" s="5" t="n"/>
      <c r="K56" s="5" t="n"/>
      <c r="L56" s="5" t="n"/>
      <c r="M56" s="5" t="n"/>
      <c r="N56" s="5" t="n"/>
      <c r="O56" s="3" t="n"/>
      <c r="P56" s="3" t="n"/>
      <c r="Q56" s="5" t="n"/>
      <c r="R56" s="5" t="n"/>
      <c r="S56" s="3" t="n"/>
      <c r="T56" s="3" t="n"/>
      <c r="U56" s="3" t="n"/>
      <c r="V56" s="3" t="n"/>
      <c r="W56" s="3" t="n"/>
      <c r="X56" s="3" t="n"/>
      <c r="Y56" s="3" t="n"/>
      <c r="Z56" s="6">
        <f>IF(F56="","",ROUND(F56/3.305785,1))</f>
        <v/>
      </c>
      <c r="AA56" s="6">
        <f>IF(OR(G56="",I56=""),"",ROUND(I56/G56*100,1))</f>
        <v/>
      </c>
      <c r="AB56" s="7">
        <f>IF(OR(Z56="",I56=""),"",ROUND(I56/Z56,0))</f>
        <v/>
      </c>
      <c r="AC56" s="7">
        <f>IF(I56="","",FLOOR(I56*IF(T56&lt;&gt;"",T56,IF(E56="농지",3,4))/100,10))</f>
        <v/>
      </c>
      <c r="AD56" s="7">
        <f>IF(I56="","",FLOOR(I56*IF(T56&lt;&gt;"",N(U56),0.2)/100,10))</f>
        <v/>
      </c>
      <c r="AE56" s="7">
        <f>IF(I56="","",FLOOR(I56*IF(T56&lt;&gt;"",N(V56),(IF(E56="농지",3,4)-2)*0.2)/100,10))</f>
        <v/>
      </c>
      <c r="AF56" s="7">
        <f>IF(N56="","",ROUND(N56*N(O56)/100*N(P56)/12,0))</f>
        <v/>
      </c>
      <c r="AG56" s="7">
        <f>IF(I56="","",I56+AC56+AD56+AE56+N(K56)+N(L56)+N(M56)+N(Q56)+N(AF56))</f>
        <v/>
      </c>
      <c r="AH56" s="7">
        <f>IF(OR(R56="",S56=""),"",ROUND(R56*S56/100,0))</f>
        <v/>
      </c>
      <c r="AI56" s="7">
        <f>IF(OR(AG56="",R56=""),"",R56-N(AH56)-AG56)</f>
        <v/>
      </c>
      <c r="AJ56" s="6">
        <f>IF(AI56="","",ROUND(AI56/AG56*100,1))</f>
        <v/>
      </c>
    </row>
    <row r="57">
      <c r="A57" s="3" t="n"/>
      <c r="B57" s="3" t="n"/>
      <c r="C57" s="4" t="n"/>
      <c r="D57" s="3" t="n"/>
      <c r="E57" s="3" t="n"/>
      <c r="F57" s="3" t="n"/>
      <c r="G57" s="5" t="n"/>
      <c r="H57" s="5" t="n"/>
      <c r="I57" s="5" t="n"/>
      <c r="J57" s="5" t="n"/>
      <c r="K57" s="5" t="n"/>
      <c r="L57" s="5" t="n"/>
      <c r="M57" s="5" t="n"/>
      <c r="N57" s="5" t="n"/>
      <c r="O57" s="3" t="n"/>
      <c r="P57" s="3" t="n"/>
      <c r="Q57" s="5" t="n"/>
      <c r="R57" s="5" t="n"/>
      <c r="S57" s="3" t="n"/>
      <c r="T57" s="3" t="n"/>
      <c r="U57" s="3" t="n"/>
      <c r="V57" s="3" t="n"/>
      <c r="W57" s="3" t="n"/>
      <c r="X57" s="3" t="n"/>
      <c r="Y57" s="3" t="n"/>
      <c r="Z57" s="6">
        <f>IF(F57="","",ROUND(F57/3.305785,1))</f>
        <v/>
      </c>
      <c r="AA57" s="6">
        <f>IF(OR(G57="",I57=""),"",ROUND(I57/G57*100,1))</f>
        <v/>
      </c>
      <c r="AB57" s="7">
        <f>IF(OR(Z57="",I57=""),"",ROUND(I57/Z57,0))</f>
        <v/>
      </c>
      <c r="AC57" s="7">
        <f>IF(I57="","",FLOOR(I57*IF(T57&lt;&gt;"",T57,IF(E57="농지",3,4))/100,10))</f>
        <v/>
      </c>
      <c r="AD57" s="7">
        <f>IF(I57="","",FLOOR(I57*IF(T57&lt;&gt;"",N(U57),0.2)/100,10))</f>
        <v/>
      </c>
      <c r="AE57" s="7">
        <f>IF(I57="","",FLOOR(I57*IF(T57&lt;&gt;"",N(V57),(IF(E57="농지",3,4)-2)*0.2)/100,10))</f>
        <v/>
      </c>
      <c r="AF57" s="7">
        <f>IF(N57="","",ROUND(N57*N(O57)/100*N(P57)/12,0))</f>
        <v/>
      </c>
      <c r="AG57" s="7">
        <f>IF(I57="","",I57+AC57+AD57+AE57+N(K57)+N(L57)+N(M57)+N(Q57)+N(AF57))</f>
        <v/>
      </c>
      <c r="AH57" s="7">
        <f>IF(OR(R57="",S57=""),"",ROUND(R57*S57/100,0))</f>
        <v/>
      </c>
      <c r="AI57" s="7">
        <f>IF(OR(AG57="",R57=""),"",R57-N(AH57)-AG57)</f>
        <v/>
      </c>
      <c r="AJ57" s="6">
        <f>IF(AI57="","",ROUND(AI57/AG57*100,1))</f>
        <v/>
      </c>
    </row>
    <row r="58">
      <c r="A58" s="3" t="n"/>
      <c r="B58" s="3" t="n"/>
      <c r="C58" s="4" t="n"/>
      <c r="D58" s="3" t="n"/>
      <c r="E58" s="3" t="n"/>
      <c r="F58" s="3" t="n"/>
      <c r="G58" s="5" t="n"/>
      <c r="H58" s="5" t="n"/>
      <c r="I58" s="5" t="n"/>
      <c r="J58" s="5" t="n"/>
      <c r="K58" s="5" t="n"/>
      <c r="L58" s="5" t="n"/>
      <c r="M58" s="5" t="n"/>
      <c r="N58" s="5" t="n"/>
      <c r="O58" s="3" t="n"/>
      <c r="P58" s="3" t="n"/>
      <c r="Q58" s="5" t="n"/>
      <c r="R58" s="5" t="n"/>
      <c r="S58" s="3" t="n"/>
      <c r="T58" s="3" t="n"/>
      <c r="U58" s="3" t="n"/>
      <c r="V58" s="3" t="n"/>
      <c r="W58" s="3" t="n"/>
      <c r="X58" s="3" t="n"/>
      <c r="Y58" s="3" t="n"/>
      <c r="Z58" s="6">
        <f>IF(F58="","",ROUND(F58/3.305785,1))</f>
        <v/>
      </c>
      <c r="AA58" s="6">
        <f>IF(OR(G58="",I58=""),"",ROUND(I58/G58*100,1))</f>
        <v/>
      </c>
      <c r="AB58" s="7">
        <f>IF(OR(Z58="",I58=""),"",ROUND(I58/Z58,0))</f>
        <v/>
      </c>
      <c r="AC58" s="7">
        <f>IF(I58="","",FLOOR(I58*IF(T58&lt;&gt;"",T58,IF(E58="농지",3,4))/100,10))</f>
        <v/>
      </c>
      <c r="AD58" s="7">
        <f>IF(I58="","",FLOOR(I58*IF(T58&lt;&gt;"",N(U58),0.2)/100,10))</f>
        <v/>
      </c>
      <c r="AE58" s="7">
        <f>IF(I58="","",FLOOR(I58*IF(T58&lt;&gt;"",N(V58),(IF(E58="농지",3,4)-2)*0.2)/100,10))</f>
        <v/>
      </c>
      <c r="AF58" s="7">
        <f>IF(N58="","",ROUND(N58*N(O58)/100*N(P58)/12,0))</f>
        <v/>
      </c>
      <c r="AG58" s="7">
        <f>IF(I58="","",I58+AC58+AD58+AE58+N(K58)+N(L58)+N(M58)+N(Q58)+N(AF58))</f>
        <v/>
      </c>
      <c r="AH58" s="7">
        <f>IF(OR(R58="",S58=""),"",ROUND(R58*S58/100,0))</f>
        <v/>
      </c>
      <c r="AI58" s="7">
        <f>IF(OR(AG58="",R58=""),"",R58-N(AH58)-AG58)</f>
        <v/>
      </c>
      <c r="AJ58" s="6">
        <f>IF(AI58="","",ROUND(AI58/AG58*100,1))</f>
        <v/>
      </c>
    </row>
    <row r="59">
      <c r="A59" s="3" t="n"/>
      <c r="B59" s="3" t="n"/>
      <c r="C59" s="4" t="n"/>
      <c r="D59" s="3" t="n"/>
      <c r="E59" s="3" t="n"/>
      <c r="F59" s="3" t="n"/>
      <c r="G59" s="5" t="n"/>
      <c r="H59" s="5" t="n"/>
      <c r="I59" s="5" t="n"/>
      <c r="J59" s="5" t="n"/>
      <c r="K59" s="5" t="n"/>
      <c r="L59" s="5" t="n"/>
      <c r="M59" s="5" t="n"/>
      <c r="N59" s="5" t="n"/>
      <c r="O59" s="3" t="n"/>
      <c r="P59" s="3" t="n"/>
      <c r="Q59" s="5" t="n"/>
      <c r="R59" s="5" t="n"/>
      <c r="S59" s="3" t="n"/>
      <c r="T59" s="3" t="n"/>
      <c r="U59" s="3" t="n"/>
      <c r="V59" s="3" t="n"/>
      <c r="W59" s="3" t="n"/>
      <c r="X59" s="3" t="n"/>
      <c r="Y59" s="3" t="n"/>
      <c r="Z59" s="6">
        <f>IF(F59="","",ROUND(F59/3.305785,1))</f>
        <v/>
      </c>
      <c r="AA59" s="6">
        <f>IF(OR(G59="",I59=""),"",ROUND(I59/G59*100,1))</f>
        <v/>
      </c>
      <c r="AB59" s="7">
        <f>IF(OR(Z59="",I59=""),"",ROUND(I59/Z59,0))</f>
        <v/>
      </c>
      <c r="AC59" s="7">
        <f>IF(I59="","",FLOOR(I59*IF(T59&lt;&gt;"",T59,IF(E59="농지",3,4))/100,10))</f>
        <v/>
      </c>
      <c r="AD59" s="7">
        <f>IF(I59="","",FLOOR(I59*IF(T59&lt;&gt;"",N(U59),0.2)/100,10))</f>
        <v/>
      </c>
      <c r="AE59" s="7">
        <f>IF(I59="","",FLOOR(I59*IF(T59&lt;&gt;"",N(V59),(IF(E59="농지",3,4)-2)*0.2)/100,10))</f>
        <v/>
      </c>
      <c r="AF59" s="7">
        <f>IF(N59="","",ROUND(N59*N(O59)/100*N(P59)/12,0))</f>
        <v/>
      </c>
      <c r="AG59" s="7">
        <f>IF(I59="","",I59+AC59+AD59+AE59+N(K59)+N(L59)+N(M59)+N(Q59)+N(AF59))</f>
        <v/>
      </c>
      <c r="AH59" s="7">
        <f>IF(OR(R59="",S59=""),"",ROUND(R59*S59/100,0))</f>
        <v/>
      </c>
      <c r="AI59" s="7">
        <f>IF(OR(AG59="",R59=""),"",R59-N(AH59)-AG59)</f>
        <v/>
      </c>
      <c r="AJ59" s="6">
        <f>IF(AI59="","",ROUND(AI59/AG59*100,1))</f>
        <v/>
      </c>
    </row>
    <row r="60">
      <c r="A60" s="3" t="n"/>
      <c r="B60" s="3" t="n"/>
      <c r="C60" s="4" t="n"/>
      <c r="D60" s="3" t="n"/>
      <c r="E60" s="3" t="n"/>
      <c r="F60" s="3" t="n"/>
      <c r="G60" s="5" t="n"/>
      <c r="H60" s="5" t="n"/>
      <c r="I60" s="5" t="n"/>
      <c r="J60" s="5" t="n"/>
      <c r="K60" s="5" t="n"/>
      <c r="L60" s="5" t="n"/>
      <c r="M60" s="5" t="n"/>
      <c r="N60" s="5" t="n"/>
      <c r="O60" s="3" t="n"/>
      <c r="P60" s="3" t="n"/>
      <c r="Q60" s="5" t="n"/>
      <c r="R60" s="5" t="n"/>
      <c r="S60" s="3" t="n"/>
      <c r="T60" s="3" t="n"/>
      <c r="U60" s="3" t="n"/>
      <c r="V60" s="3" t="n"/>
      <c r="W60" s="3" t="n"/>
      <c r="X60" s="3" t="n"/>
      <c r="Y60" s="3" t="n"/>
      <c r="Z60" s="6">
        <f>IF(F60="","",ROUND(F60/3.305785,1))</f>
        <v/>
      </c>
      <c r="AA60" s="6">
        <f>IF(OR(G60="",I60=""),"",ROUND(I60/G60*100,1))</f>
        <v/>
      </c>
      <c r="AB60" s="7">
        <f>IF(OR(Z60="",I60=""),"",ROUND(I60/Z60,0))</f>
        <v/>
      </c>
      <c r="AC60" s="7">
        <f>IF(I60="","",FLOOR(I60*IF(T60&lt;&gt;"",T60,IF(E60="농지",3,4))/100,10))</f>
        <v/>
      </c>
      <c r="AD60" s="7">
        <f>IF(I60="","",FLOOR(I60*IF(T60&lt;&gt;"",N(U60),0.2)/100,10))</f>
        <v/>
      </c>
      <c r="AE60" s="7">
        <f>IF(I60="","",FLOOR(I60*IF(T60&lt;&gt;"",N(V60),(IF(E60="농지",3,4)-2)*0.2)/100,10))</f>
        <v/>
      </c>
      <c r="AF60" s="7">
        <f>IF(N60="","",ROUND(N60*N(O60)/100*N(P60)/12,0))</f>
        <v/>
      </c>
      <c r="AG60" s="7">
        <f>IF(I60="","",I60+AC60+AD60+AE60+N(K60)+N(L60)+N(M60)+N(Q60)+N(AF60))</f>
        <v/>
      </c>
      <c r="AH60" s="7">
        <f>IF(OR(R60="",S60=""),"",ROUND(R60*S60/100,0))</f>
        <v/>
      </c>
      <c r="AI60" s="7">
        <f>IF(OR(AG60="",R60=""),"",R60-N(AH60)-AG60)</f>
        <v/>
      </c>
      <c r="AJ60" s="6">
        <f>IF(AI60="","",ROUND(AI60/AG60*100,1))</f>
        <v/>
      </c>
    </row>
    <row r="61">
      <c r="A61" s="3" t="n"/>
      <c r="B61" s="3" t="n"/>
      <c r="C61" s="4" t="n"/>
      <c r="D61" s="3" t="n"/>
      <c r="E61" s="3" t="n"/>
      <c r="F61" s="3" t="n"/>
      <c r="G61" s="5" t="n"/>
      <c r="H61" s="5" t="n"/>
      <c r="I61" s="5" t="n"/>
      <c r="J61" s="5" t="n"/>
      <c r="K61" s="5" t="n"/>
      <c r="L61" s="5" t="n"/>
      <c r="M61" s="5" t="n"/>
      <c r="N61" s="5" t="n"/>
      <c r="O61" s="3" t="n"/>
      <c r="P61" s="3" t="n"/>
      <c r="Q61" s="5" t="n"/>
      <c r="R61" s="5" t="n"/>
      <c r="S61" s="3" t="n"/>
      <c r="T61" s="3" t="n"/>
      <c r="U61" s="3" t="n"/>
      <c r="V61" s="3" t="n"/>
      <c r="W61" s="3" t="n"/>
      <c r="X61" s="3" t="n"/>
      <c r="Y61" s="3" t="n"/>
      <c r="Z61" s="6">
        <f>IF(F61="","",ROUND(F61/3.305785,1))</f>
        <v/>
      </c>
      <c r="AA61" s="6">
        <f>IF(OR(G61="",I61=""),"",ROUND(I61/G61*100,1))</f>
        <v/>
      </c>
      <c r="AB61" s="7">
        <f>IF(OR(Z61="",I61=""),"",ROUND(I61/Z61,0))</f>
        <v/>
      </c>
      <c r="AC61" s="7">
        <f>IF(I61="","",FLOOR(I61*IF(T61&lt;&gt;"",T61,IF(E61="농지",3,4))/100,10))</f>
        <v/>
      </c>
      <c r="AD61" s="7">
        <f>IF(I61="","",FLOOR(I61*IF(T61&lt;&gt;"",N(U61),0.2)/100,10))</f>
        <v/>
      </c>
      <c r="AE61" s="7">
        <f>IF(I61="","",FLOOR(I61*IF(T61&lt;&gt;"",N(V61),(IF(E61="농지",3,4)-2)*0.2)/100,10))</f>
        <v/>
      </c>
      <c r="AF61" s="7">
        <f>IF(N61="","",ROUND(N61*N(O61)/100*N(P61)/12,0))</f>
        <v/>
      </c>
      <c r="AG61" s="7">
        <f>IF(I61="","",I61+AC61+AD61+AE61+N(K61)+N(L61)+N(M61)+N(Q61)+N(AF61))</f>
        <v/>
      </c>
      <c r="AH61" s="7">
        <f>IF(OR(R61="",S61=""),"",ROUND(R61*S61/100,0))</f>
        <v/>
      </c>
      <c r="AI61" s="7">
        <f>IF(OR(AG61="",R61=""),"",R61-N(AH61)-AG61)</f>
        <v/>
      </c>
      <c r="AJ61" s="6">
        <f>IF(AI61="","",ROUND(AI61/AG61*100,1))</f>
        <v/>
      </c>
    </row>
    <row r="62">
      <c r="A62" s="3" t="n"/>
      <c r="B62" s="3" t="n"/>
      <c r="C62" s="4" t="n"/>
      <c r="D62" s="3" t="n"/>
      <c r="E62" s="3" t="n"/>
      <c r="F62" s="3" t="n"/>
      <c r="G62" s="5" t="n"/>
      <c r="H62" s="5" t="n"/>
      <c r="I62" s="5" t="n"/>
      <c r="J62" s="5" t="n"/>
      <c r="K62" s="5" t="n"/>
      <c r="L62" s="5" t="n"/>
      <c r="M62" s="5" t="n"/>
      <c r="N62" s="5" t="n"/>
      <c r="O62" s="3" t="n"/>
      <c r="P62" s="3" t="n"/>
      <c r="Q62" s="5" t="n"/>
      <c r="R62" s="5" t="n"/>
      <c r="S62" s="3" t="n"/>
      <c r="T62" s="3" t="n"/>
      <c r="U62" s="3" t="n"/>
      <c r="V62" s="3" t="n"/>
      <c r="W62" s="3" t="n"/>
      <c r="X62" s="3" t="n"/>
      <c r="Y62" s="3" t="n"/>
      <c r="Z62" s="6">
        <f>IF(F62="","",ROUND(F62/3.305785,1))</f>
        <v/>
      </c>
      <c r="AA62" s="6">
        <f>IF(OR(G62="",I62=""),"",ROUND(I62/G62*100,1))</f>
        <v/>
      </c>
      <c r="AB62" s="7">
        <f>IF(OR(Z62="",I62=""),"",ROUND(I62/Z62,0))</f>
        <v/>
      </c>
      <c r="AC62" s="7">
        <f>IF(I62="","",FLOOR(I62*IF(T62&lt;&gt;"",T62,IF(E62="농지",3,4))/100,10))</f>
        <v/>
      </c>
      <c r="AD62" s="7">
        <f>IF(I62="","",FLOOR(I62*IF(T62&lt;&gt;"",N(U62),0.2)/100,10))</f>
        <v/>
      </c>
      <c r="AE62" s="7">
        <f>IF(I62="","",FLOOR(I62*IF(T62&lt;&gt;"",N(V62),(IF(E62="농지",3,4)-2)*0.2)/100,10))</f>
        <v/>
      </c>
      <c r="AF62" s="7">
        <f>IF(N62="","",ROUND(N62*N(O62)/100*N(P62)/12,0))</f>
        <v/>
      </c>
      <c r="AG62" s="7">
        <f>IF(I62="","",I62+AC62+AD62+AE62+N(K62)+N(L62)+N(M62)+N(Q62)+N(AF62))</f>
        <v/>
      </c>
      <c r="AH62" s="7">
        <f>IF(OR(R62="",S62=""),"",ROUND(R62*S62/100,0))</f>
        <v/>
      </c>
      <c r="AI62" s="7">
        <f>IF(OR(AG62="",R62=""),"",R62-N(AH62)-AG62)</f>
        <v/>
      </c>
      <c r="AJ62" s="6">
        <f>IF(AI62="","",ROUND(AI62/AG62*100,1))</f>
        <v/>
      </c>
    </row>
    <row r="63">
      <c r="A63" s="3" t="n"/>
      <c r="B63" s="3" t="n"/>
      <c r="C63" s="4" t="n"/>
      <c r="D63" s="3" t="n"/>
      <c r="E63" s="3" t="n"/>
      <c r="F63" s="3" t="n"/>
      <c r="G63" s="5" t="n"/>
      <c r="H63" s="5" t="n"/>
      <c r="I63" s="5" t="n"/>
      <c r="J63" s="5" t="n"/>
      <c r="K63" s="5" t="n"/>
      <c r="L63" s="5" t="n"/>
      <c r="M63" s="5" t="n"/>
      <c r="N63" s="5" t="n"/>
      <c r="O63" s="3" t="n"/>
      <c r="P63" s="3" t="n"/>
      <c r="Q63" s="5" t="n"/>
      <c r="R63" s="5" t="n"/>
      <c r="S63" s="3" t="n"/>
      <c r="T63" s="3" t="n"/>
      <c r="U63" s="3" t="n"/>
      <c r="V63" s="3" t="n"/>
      <c r="W63" s="3" t="n"/>
      <c r="X63" s="3" t="n"/>
      <c r="Y63" s="3" t="n"/>
      <c r="Z63" s="6">
        <f>IF(F63="","",ROUND(F63/3.305785,1))</f>
        <v/>
      </c>
      <c r="AA63" s="6">
        <f>IF(OR(G63="",I63=""),"",ROUND(I63/G63*100,1))</f>
        <v/>
      </c>
      <c r="AB63" s="7">
        <f>IF(OR(Z63="",I63=""),"",ROUND(I63/Z63,0))</f>
        <v/>
      </c>
      <c r="AC63" s="7">
        <f>IF(I63="","",FLOOR(I63*IF(T63&lt;&gt;"",T63,IF(E63="농지",3,4))/100,10))</f>
        <v/>
      </c>
      <c r="AD63" s="7">
        <f>IF(I63="","",FLOOR(I63*IF(T63&lt;&gt;"",N(U63),0.2)/100,10))</f>
        <v/>
      </c>
      <c r="AE63" s="7">
        <f>IF(I63="","",FLOOR(I63*IF(T63&lt;&gt;"",N(V63),(IF(E63="농지",3,4)-2)*0.2)/100,10))</f>
        <v/>
      </c>
      <c r="AF63" s="7">
        <f>IF(N63="","",ROUND(N63*N(O63)/100*N(P63)/12,0))</f>
        <v/>
      </c>
      <c r="AG63" s="7">
        <f>IF(I63="","",I63+AC63+AD63+AE63+N(K63)+N(L63)+N(M63)+N(Q63)+N(AF63))</f>
        <v/>
      </c>
      <c r="AH63" s="7">
        <f>IF(OR(R63="",S63=""),"",ROUND(R63*S63/100,0))</f>
        <v/>
      </c>
      <c r="AI63" s="7">
        <f>IF(OR(AG63="",R63=""),"",R63-N(AH63)-AG63)</f>
        <v/>
      </c>
      <c r="AJ63" s="6">
        <f>IF(AI63="","",ROUND(AI63/AG63*100,1))</f>
        <v/>
      </c>
    </row>
    <row r="64">
      <c r="A64" s="3" t="n"/>
      <c r="B64" s="3" t="n"/>
      <c r="C64" s="4" t="n"/>
      <c r="D64" s="3" t="n"/>
      <c r="E64" s="3" t="n"/>
      <c r="F64" s="3" t="n"/>
      <c r="G64" s="5" t="n"/>
      <c r="H64" s="5" t="n"/>
      <c r="I64" s="5" t="n"/>
      <c r="J64" s="5" t="n"/>
      <c r="K64" s="5" t="n"/>
      <c r="L64" s="5" t="n"/>
      <c r="M64" s="5" t="n"/>
      <c r="N64" s="5" t="n"/>
      <c r="O64" s="3" t="n"/>
      <c r="P64" s="3" t="n"/>
      <c r="Q64" s="5" t="n"/>
      <c r="R64" s="5" t="n"/>
      <c r="S64" s="3" t="n"/>
      <c r="T64" s="3" t="n"/>
      <c r="U64" s="3" t="n"/>
      <c r="V64" s="3" t="n"/>
      <c r="W64" s="3" t="n"/>
      <c r="X64" s="3" t="n"/>
      <c r="Y64" s="3" t="n"/>
      <c r="Z64" s="6">
        <f>IF(F64="","",ROUND(F64/3.305785,1))</f>
        <v/>
      </c>
      <c r="AA64" s="6">
        <f>IF(OR(G64="",I64=""),"",ROUND(I64/G64*100,1))</f>
        <v/>
      </c>
      <c r="AB64" s="7">
        <f>IF(OR(Z64="",I64=""),"",ROUND(I64/Z64,0))</f>
        <v/>
      </c>
      <c r="AC64" s="7">
        <f>IF(I64="","",FLOOR(I64*IF(T64&lt;&gt;"",T64,IF(E64="농지",3,4))/100,10))</f>
        <v/>
      </c>
      <c r="AD64" s="7">
        <f>IF(I64="","",FLOOR(I64*IF(T64&lt;&gt;"",N(U64),0.2)/100,10))</f>
        <v/>
      </c>
      <c r="AE64" s="7">
        <f>IF(I64="","",FLOOR(I64*IF(T64&lt;&gt;"",N(V64),(IF(E64="농지",3,4)-2)*0.2)/100,10))</f>
        <v/>
      </c>
      <c r="AF64" s="7">
        <f>IF(N64="","",ROUND(N64*N(O64)/100*N(P64)/12,0))</f>
        <v/>
      </c>
      <c r="AG64" s="7">
        <f>IF(I64="","",I64+AC64+AD64+AE64+N(K64)+N(L64)+N(M64)+N(Q64)+N(AF64))</f>
        <v/>
      </c>
      <c r="AH64" s="7">
        <f>IF(OR(R64="",S64=""),"",ROUND(R64*S64/100,0))</f>
        <v/>
      </c>
      <c r="AI64" s="7">
        <f>IF(OR(AG64="",R64=""),"",R64-N(AH64)-AG64)</f>
        <v/>
      </c>
      <c r="AJ64" s="6">
        <f>IF(AI64="","",ROUND(AI64/AG64*100,1))</f>
        <v/>
      </c>
    </row>
    <row r="65">
      <c r="A65" s="3" t="n"/>
      <c r="B65" s="3" t="n"/>
      <c r="C65" s="4" t="n"/>
      <c r="D65" s="3" t="n"/>
      <c r="E65" s="3" t="n"/>
      <c r="F65" s="3" t="n"/>
      <c r="G65" s="5" t="n"/>
      <c r="H65" s="5" t="n"/>
      <c r="I65" s="5" t="n"/>
      <c r="J65" s="5" t="n"/>
      <c r="K65" s="5" t="n"/>
      <c r="L65" s="5" t="n"/>
      <c r="M65" s="5" t="n"/>
      <c r="N65" s="5" t="n"/>
      <c r="O65" s="3" t="n"/>
      <c r="P65" s="3" t="n"/>
      <c r="Q65" s="5" t="n"/>
      <c r="R65" s="5" t="n"/>
      <c r="S65" s="3" t="n"/>
      <c r="T65" s="3" t="n"/>
      <c r="U65" s="3" t="n"/>
      <c r="V65" s="3" t="n"/>
      <c r="W65" s="3" t="n"/>
      <c r="X65" s="3" t="n"/>
      <c r="Y65" s="3" t="n"/>
      <c r="Z65" s="6">
        <f>IF(F65="","",ROUND(F65/3.305785,1))</f>
        <v/>
      </c>
      <c r="AA65" s="6">
        <f>IF(OR(G65="",I65=""),"",ROUND(I65/G65*100,1))</f>
        <v/>
      </c>
      <c r="AB65" s="7">
        <f>IF(OR(Z65="",I65=""),"",ROUND(I65/Z65,0))</f>
        <v/>
      </c>
      <c r="AC65" s="7">
        <f>IF(I65="","",FLOOR(I65*IF(T65&lt;&gt;"",T65,IF(E65="농지",3,4))/100,10))</f>
        <v/>
      </c>
      <c r="AD65" s="7">
        <f>IF(I65="","",FLOOR(I65*IF(T65&lt;&gt;"",N(U65),0.2)/100,10))</f>
        <v/>
      </c>
      <c r="AE65" s="7">
        <f>IF(I65="","",FLOOR(I65*IF(T65&lt;&gt;"",N(V65),(IF(E65="농지",3,4)-2)*0.2)/100,10))</f>
        <v/>
      </c>
      <c r="AF65" s="7">
        <f>IF(N65="","",ROUND(N65*N(O65)/100*N(P65)/12,0))</f>
        <v/>
      </c>
      <c r="AG65" s="7">
        <f>IF(I65="","",I65+AC65+AD65+AE65+N(K65)+N(L65)+N(M65)+N(Q65)+N(AF65))</f>
        <v/>
      </c>
      <c r="AH65" s="7">
        <f>IF(OR(R65="",S65=""),"",ROUND(R65*S65/100,0))</f>
        <v/>
      </c>
      <c r="AI65" s="7">
        <f>IF(OR(AG65="",R65=""),"",R65-N(AH65)-AG65)</f>
        <v/>
      </c>
      <c r="AJ65" s="6">
        <f>IF(AI65="","",ROUND(AI65/AG65*100,1))</f>
        <v/>
      </c>
    </row>
    <row r="66">
      <c r="A66" s="3" t="n"/>
      <c r="B66" s="3" t="n"/>
      <c r="C66" s="4" t="n"/>
      <c r="D66" s="3" t="n"/>
      <c r="E66" s="3" t="n"/>
      <c r="F66" s="3" t="n"/>
      <c r="G66" s="5" t="n"/>
      <c r="H66" s="5" t="n"/>
      <c r="I66" s="5" t="n"/>
      <c r="J66" s="5" t="n"/>
      <c r="K66" s="5" t="n"/>
      <c r="L66" s="5" t="n"/>
      <c r="M66" s="5" t="n"/>
      <c r="N66" s="5" t="n"/>
      <c r="O66" s="3" t="n"/>
      <c r="P66" s="3" t="n"/>
      <c r="Q66" s="5" t="n"/>
      <c r="R66" s="5" t="n"/>
      <c r="S66" s="3" t="n"/>
      <c r="T66" s="3" t="n"/>
      <c r="U66" s="3" t="n"/>
      <c r="V66" s="3" t="n"/>
      <c r="W66" s="3" t="n"/>
      <c r="X66" s="3" t="n"/>
      <c r="Y66" s="3" t="n"/>
      <c r="Z66" s="6">
        <f>IF(F66="","",ROUND(F66/3.305785,1))</f>
        <v/>
      </c>
      <c r="AA66" s="6">
        <f>IF(OR(G66="",I66=""),"",ROUND(I66/G66*100,1))</f>
        <v/>
      </c>
      <c r="AB66" s="7">
        <f>IF(OR(Z66="",I66=""),"",ROUND(I66/Z66,0))</f>
        <v/>
      </c>
      <c r="AC66" s="7">
        <f>IF(I66="","",FLOOR(I66*IF(T66&lt;&gt;"",T66,IF(E66="농지",3,4))/100,10))</f>
        <v/>
      </c>
      <c r="AD66" s="7">
        <f>IF(I66="","",FLOOR(I66*IF(T66&lt;&gt;"",N(U66),0.2)/100,10))</f>
        <v/>
      </c>
      <c r="AE66" s="7">
        <f>IF(I66="","",FLOOR(I66*IF(T66&lt;&gt;"",N(V66),(IF(E66="농지",3,4)-2)*0.2)/100,10))</f>
        <v/>
      </c>
      <c r="AF66" s="7">
        <f>IF(N66="","",ROUND(N66*N(O66)/100*N(P66)/12,0))</f>
        <v/>
      </c>
      <c r="AG66" s="7">
        <f>IF(I66="","",I66+AC66+AD66+AE66+N(K66)+N(L66)+N(M66)+N(Q66)+N(AF66))</f>
        <v/>
      </c>
      <c r="AH66" s="7">
        <f>IF(OR(R66="",S66=""),"",ROUND(R66*S66/100,0))</f>
        <v/>
      </c>
      <c r="AI66" s="7">
        <f>IF(OR(AG66="",R66=""),"",R66-N(AH66)-AG66)</f>
        <v/>
      </c>
      <c r="AJ66" s="6">
        <f>IF(AI66="","",ROUND(AI66/AG66*100,1))</f>
        <v/>
      </c>
    </row>
    <row r="67">
      <c r="A67" s="3" t="n"/>
      <c r="B67" s="3" t="n"/>
      <c r="C67" s="4" t="n"/>
      <c r="D67" s="3" t="n"/>
      <c r="E67" s="3" t="n"/>
      <c r="F67" s="3" t="n"/>
      <c r="G67" s="5" t="n"/>
      <c r="H67" s="5" t="n"/>
      <c r="I67" s="5" t="n"/>
      <c r="J67" s="5" t="n"/>
      <c r="K67" s="5" t="n"/>
      <c r="L67" s="5" t="n"/>
      <c r="M67" s="5" t="n"/>
      <c r="N67" s="5" t="n"/>
      <c r="O67" s="3" t="n"/>
      <c r="P67" s="3" t="n"/>
      <c r="Q67" s="5" t="n"/>
      <c r="R67" s="5" t="n"/>
      <c r="S67" s="3" t="n"/>
      <c r="T67" s="3" t="n"/>
      <c r="U67" s="3" t="n"/>
      <c r="V67" s="3" t="n"/>
      <c r="W67" s="3" t="n"/>
      <c r="X67" s="3" t="n"/>
      <c r="Y67" s="3" t="n"/>
      <c r="Z67" s="6">
        <f>IF(F67="","",ROUND(F67/3.305785,1))</f>
        <v/>
      </c>
      <c r="AA67" s="6">
        <f>IF(OR(G67="",I67=""),"",ROUND(I67/G67*100,1))</f>
        <v/>
      </c>
      <c r="AB67" s="7">
        <f>IF(OR(Z67="",I67=""),"",ROUND(I67/Z67,0))</f>
        <v/>
      </c>
      <c r="AC67" s="7">
        <f>IF(I67="","",FLOOR(I67*IF(T67&lt;&gt;"",T67,IF(E67="농지",3,4))/100,10))</f>
        <v/>
      </c>
      <c r="AD67" s="7">
        <f>IF(I67="","",FLOOR(I67*IF(T67&lt;&gt;"",N(U67),0.2)/100,10))</f>
        <v/>
      </c>
      <c r="AE67" s="7">
        <f>IF(I67="","",FLOOR(I67*IF(T67&lt;&gt;"",N(V67),(IF(E67="농지",3,4)-2)*0.2)/100,10))</f>
        <v/>
      </c>
      <c r="AF67" s="7">
        <f>IF(N67="","",ROUND(N67*N(O67)/100*N(P67)/12,0))</f>
        <v/>
      </c>
      <c r="AG67" s="7">
        <f>IF(I67="","",I67+AC67+AD67+AE67+N(K67)+N(L67)+N(M67)+N(Q67)+N(AF67))</f>
        <v/>
      </c>
      <c r="AH67" s="7">
        <f>IF(OR(R67="",S67=""),"",ROUND(R67*S67/100,0))</f>
        <v/>
      </c>
      <c r="AI67" s="7">
        <f>IF(OR(AG67="",R67=""),"",R67-N(AH67)-AG67)</f>
        <v/>
      </c>
      <c r="AJ67" s="6">
        <f>IF(AI67="","",ROUND(AI67/AG67*100,1))</f>
        <v/>
      </c>
    </row>
    <row r="68">
      <c r="A68" s="3" t="n"/>
      <c r="B68" s="3" t="n"/>
      <c r="C68" s="4" t="n"/>
      <c r="D68" s="3" t="n"/>
      <c r="E68" s="3" t="n"/>
      <c r="F68" s="3" t="n"/>
      <c r="G68" s="5" t="n"/>
      <c r="H68" s="5" t="n"/>
      <c r="I68" s="5" t="n"/>
      <c r="J68" s="5" t="n"/>
      <c r="K68" s="5" t="n"/>
      <c r="L68" s="5" t="n"/>
      <c r="M68" s="5" t="n"/>
      <c r="N68" s="5" t="n"/>
      <c r="O68" s="3" t="n"/>
      <c r="P68" s="3" t="n"/>
      <c r="Q68" s="5" t="n"/>
      <c r="R68" s="5" t="n"/>
      <c r="S68" s="3" t="n"/>
      <c r="T68" s="3" t="n"/>
      <c r="U68" s="3" t="n"/>
      <c r="V68" s="3" t="n"/>
      <c r="W68" s="3" t="n"/>
      <c r="X68" s="3" t="n"/>
      <c r="Y68" s="3" t="n"/>
      <c r="Z68" s="6">
        <f>IF(F68="","",ROUND(F68/3.305785,1))</f>
        <v/>
      </c>
      <c r="AA68" s="6">
        <f>IF(OR(G68="",I68=""),"",ROUND(I68/G68*100,1))</f>
        <v/>
      </c>
      <c r="AB68" s="7">
        <f>IF(OR(Z68="",I68=""),"",ROUND(I68/Z68,0))</f>
        <v/>
      </c>
      <c r="AC68" s="7">
        <f>IF(I68="","",FLOOR(I68*IF(T68&lt;&gt;"",T68,IF(E68="농지",3,4))/100,10))</f>
        <v/>
      </c>
      <c r="AD68" s="7">
        <f>IF(I68="","",FLOOR(I68*IF(T68&lt;&gt;"",N(U68),0.2)/100,10))</f>
        <v/>
      </c>
      <c r="AE68" s="7">
        <f>IF(I68="","",FLOOR(I68*IF(T68&lt;&gt;"",N(V68),(IF(E68="농지",3,4)-2)*0.2)/100,10))</f>
        <v/>
      </c>
      <c r="AF68" s="7">
        <f>IF(N68="","",ROUND(N68*N(O68)/100*N(P68)/12,0))</f>
        <v/>
      </c>
      <c r="AG68" s="7">
        <f>IF(I68="","",I68+AC68+AD68+AE68+N(K68)+N(L68)+N(M68)+N(Q68)+N(AF68))</f>
        <v/>
      </c>
      <c r="AH68" s="7">
        <f>IF(OR(R68="",S68=""),"",ROUND(R68*S68/100,0))</f>
        <v/>
      </c>
      <c r="AI68" s="7">
        <f>IF(OR(AG68="",R68=""),"",R68-N(AH68)-AG68)</f>
        <v/>
      </c>
      <c r="AJ68" s="6">
        <f>IF(AI68="","",ROUND(AI68/AG68*100,1))</f>
        <v/>
      </c>
    </row>
    <row r="69">
      <c r="A69" s="3" t="n"/>
      <c r="B69" s="3" t="n"/>
      <c r="C69" s="4" t="n"/>
      <c r="D69" s="3" t="n"/>
      <c r="E69" s="3" t="n"/>
      <c r="F69" s="3" t="n"/>
      <c r="G69" s="5" t="n"/>
      <c r="H69" s="5" t="n"/>
      <c r="I69" s="5" t="n"/>
      <c r="J69" s="5" t="n"/>
      <c r="K69" s="5" t="n"/>
      <c r="L69" s="5" t="n"/>
      <c r="M69" s="5" t="n"/>
      <c r="N69" s="5" t="n"/>
      <c r="O69" s="3" t="n"/>
      <c r="P69" s="3" t="n"/>
      <c r="Q69" s="5" t="n"/>
      <c r="R69" s="5" t="n"/>
      <c r="S69" s="3" t="n"/>
      <c r="T69" s="3" t="n"/>
      <c r="U69" s="3" t="n"/>
      <c r="V69" s="3" t="n"/>
      <c r="W69" s="3" t="n"/>
      <c r="X69" s="3" t="n"/>
      <c r="Y69" s="3" t="n"/>
      <c r="Z69" s="6">
        <f>IF(F69="","",ROUND(F69/3.305785,1))</f>
        <v/>
      </c>
      <c r="AA69" s="6">
        <f>IF(OR(G69="",I69=""),"",ROUND(I69/G69*100,1))</f>
        <v/>
      </c>
      <c r="AB69" s="7">
        <f>IF(OR(Z69="",I69=""),"",ROUND(I69/Z69,0))</f>
        <v/>
      </c>
      <c r="AC69" s="7">
        <f>IF(I69="","",FLOOR(I69*IF(T69&lt;&gt;"",T69,IF(E69="농지",3,4))/100,10))</f>
        <v/>
      </c>
      <c r="AD69" s="7">
        <f>IF(I69="","",FLOOR(I69*IF(T69&lt;&gt;"",N(U69),0.2)/100,10))</f>
        <v/>
      </c>
      <c r="AE69" s="7">
        <f>IF(I69="","",FLOOR(I69*IF(T69&lt;&gt;"",N(V69),(IF(E69="농지",3,4)-2)*0.2)/100,10))</f>
        <v/>
      </c>
      <c r="AF69" s="7">
        <f>IF(N69="","",ROUND(N69*N(O69)/100*N(P69)/12,0))</f>
        <v/>
      </c>
      <c r="AG69" s="7">
        <f>IF(I69="","",I69+AC69+AD69+AE69+N(K69)+N(L69)+N(M69)+N(Q69)+N(AF69))</f>
        <v/>
      </c>
      <c r="AH69" s="7">
        <f>IF(OR(R69="",S69=""),"",ROUND(R69*S69/100,0))</f>
        <v/>
      </c>
      <c r="AI69" s="7">
        <f>IF(OR(AG69="",R69=""),"",R69-N(AH69)-AG69)</f>
        <v/>
      </c>
      <c r="AJ69" s="6">
        <f>IF(AI69="","",ROUND(AI69/AG69*100,1))</f>
        <v/>
      </c>
    </row>
    <row r="70">
      <c r="A70" s="3" t="n"/>
      <c r="B70" s="3" t="n"/>
      <c r="C70" s="4" t="n"/>
      <c r="D70" s="3" t="n"/>
      <c r="E70" s="3" t="n"/>
      <c r="F70" s="3" t="n"/>
      <c r="G70" s="5" t="n"/>
      <c r="H70" s="5" t="n"/>
      <c r="I70" s="5" t="n"/>
      <c r="J70" s="5" t="n"/>
      <c r="K70" s="5" t="n"/>
      <c r="L70" s="5" t="n"/>
      <c r="M70" s="5" t="n"/>
      <c r="N70" s="5" t="n"/>
      <c r="O70" s="3" t="n"/>
      <c r="P70" s="3" t="n"/>
      <c r="Q70" s="5" t="n"/>
      <c r="R70" s="5" t="n"/>
      <c r="S70" s="3" t="n"/>
      <c r="T70" s="3" t="n"/>
      <c r="U70" s="3" t="n"/>
      <c r="V70" s="3" t="n"/>
      <c r="W70" s="3" t="n"/>
      <c r="X70" s="3" t="n"/>
      <c r="Y70" s="3" t="n"/>
      <c r="Z70" s="6">
        <f>IF(F70="","",ROUND(F70/3.305785,1))</f>
        <v/>
      </c>
      <c r="AA70" s="6">
        <f>IF(OR(G70="",I70=""),"",ROUND(I70/G70*100,1))</f>
        <v/>
      </c>
      <c r="AB70" s="7">
        <f>IF(OR(Z70="",I70=""),"",ROUND(I70/Z70,0))</f>
        <v/>
      </c>
      <c r="AC70" s="7">
        <f>IF(I70="","",FLOOR(I70*IF(T70&lt;&gt;"",T70,IF(E70="농지",3,4))/100,10))</f>
        <v/>
      </c>
      <c r="AD70" s="7">
        <f>IF(I70="","",FLOOR(I70*IF(T70&lt;&gt;"",N(U70),0.2)/100,10))</f>
        <v/>
      </c>
      <c r="AE70" s="7">
        <f>IF(I70="","",FLOOR(I70*IF(T70&lt;&gt;"",N(V70),(IF(E70="농지",3,4)-2)*0.2)/100,10))</f>
        <v/>
      </c>
      <c r="AF70" s="7">
        <f>IF(N70="","",ROUND(N70*N(O70)/100*N(P70)/12,0))</f>
        <v/>
      </c>
      <c r="AG70" s="7">
        <f>IF(I70="","",I70+AC70+AD70+AE70+N(K70)+N(L70)+N(M70)+N(Q70)+N(AF70))</f>
        <v/>
      </c>
      <c r="AH70" s="7">
        <f>IF(OR(R70="",S70=""),"",ROUND(R70*S70/100,0))</f>
        <v/>
      </c>
      <c r="AI70" s="7">
        <f>IF(OR(AG70="",R70=""),"",R70-N(AH70)-AG70)</f>
        <v/>
      </c>
      <c r="AJ70" s="6">
        <f>IF(AI70="","",ROUND(AI70/AG70*100,1))</f>
        <v/>
      </c>
    </row>
    <row r="71">
      <c r="A71" s="3" t="n"/>
      <c r="B71" s="3" t="n"/>
      <c r="C71" s="4" t="n"/>
      <c r="D71" s="3" t="n"/>
      <c r="E71" s="3" t="n"/>
      <c r="F71" s="3" t="n"/>
      <c r="G71" s="5" t="n"/>
      <c r="H71" s="5" t="n"/>
      <c r="I71" s="5" t="n"/>
      <c r="J71" s="5" t="n"/>
      <c r="K71" s="5" t="n"/>
      <c r="L71" s="5" t="n"/>
      <c r="M71" s="5" t="n"/>
      <c r="N71" s="5" t="n"/>
      <c r="O71" s="3" t="n"/>
      <c r="P71" s="3" t="n"/>
      <c r="Q71" s="5" t="n"/>
      <c r="R71" s="5" t="n"/>
      <c r="S71" s="3" t="n"/>
      <c r="T71" s="3" t="n"/>
      <c r="U71" s="3" t="n"/>
      <c r="V71" s="3" t="n"/>
      <c r="W71" s="3" t="n"/>
      <c r="X71" s="3" t="n"/>
      <c r="Y71" s="3" t="n"/>
      <c r="Z71" s="6">
        <f>IF(F71="","",ROUND(F71/3.305785,1))</f>
        <v/>
      </c>
      <c r="AA71" s="6">
        <f>IF(OR(G71="",I71=""),"",ROUND(I71/G71*100,1))</f>
        <v/>
      </c>
      <c r="AB71" s="7">
        <f>IF(OR(Z71="",I71=""),"",ROUND(I71/Z71,0))</f>
        <v/>
      </c>
      <c r="AC71" s="7">
        <f>IF(I71="","",FLOOR(I71*IF(T71&lt;&gt;"",T71,IF(E71="농지",3,4))/100,10))</f>
        <v/>
      </c>
      <c r="AD71" s="7">
        <f>IF(I71="","",FLOOR(I71*IF(T71&lt;&gt;"",N(U71),0.2)/100,10))</f>
        <v/>
      </c>
      <c r="AE71" s="7">
        <f>IF(I71="","",FLOOR(I71*IF(T71&lt;&gt;"",N(V71),(IF(E71="농지",3,4)-2)*0.2)/100,10))</f>
        <v/>
      </c>
      <c r="AF71" s="7">
        <f>IF(N71="","",ROUND(N71*N(O71)/100*N(P71)/12,0))</f>
        <v/>
      </c>
      <c r="AG71" s="7">
        <f>IF(I71="","",I71+AC71+AD71+AE71+N(K71)+N(L71)+N(M71)+N(Q71)+N(AF71))</f>
        <v/>
      </c>
      <c r="AH71" s="7">
        <f>IF(OR(R71="",S71=""),"",ROUND(R71*S71/100,0))</f>
        <v/>
      </c>
      <c r="AI71" s="7">
        <f>IF(OR(AG71="",R71=""),"",R71-N(AH71)-AG71)</f>
        <v/>
      </c>
      <c r="AJ71" s="6">
        <f>IF(AI71="","",ROUND(AI71/AG71*100,1))</f>
        <v/>
      </c>
    </row>
    <row r="72">
      <c r="A72" s="3" t="n"/>
      <c r="B72" s="3" t="n"/>
      <c r="C72" s="4" t="n"/>
      <c r="D72" s="3" t="n"/>
      <c r="E72" s="3" t="n"/>
      <c r="F72" s="3" t="n"/>
      <c r="G72" s="5" t="n"/>
      <c r="H72" s="5" t="n"/>
      <c r="I72" s="5" t="n"/>
      <c r="J72" s="5" t="n"/>
      <c r="K72" s="5" t="n"/>
      <c r="L72" s="5" t="n"/>
      <c r="M72" s="5" t="n"/>
      <c r="N72" s="5" t="n"/>
      <c r="O72" s="3" t="n"/>
      <c r="P72" s="3" t="n"/>
      <c r="Q72" s="5" t="n"/>
      <c r="R72" s="5" t="n"/>
      <c r="S72" s="3" t="n"/>
      <c r="T72" s="3" t="n"/>
      <c r="U72" s="3" t="n"/>
      <c r="V72" s="3" t="n"/>
      <c r="W72" s="3" t="n"/>
      <c r="X72" s="3" t="n"/>
      <c r="Y72" s="3" t="n"/>
      <c r="Z72" s="6">
        <f>IF(F72="","",ROUND(F72/3.305785,1))</f>
        <v/>
      </c>
      <c r="AA72" s="6">
        <f>IF(OR(G72="",I72=""),"",ROUND(I72/G72*100,1))</f>
        <v/>
      </c>
      <c r="AB72" s="7">
        <f>IF(OR(Z72="",I72=""),"",ROUND(I72/Z72,0))</f>
        <v/>
      </c>
      <c r="AC72" s="7">
        <f>IF(I72="","",FLOOR(I72*IF(T72&lt;&gt;"",T72,IF(E72="농지",3,4))/100,10))</f>
        <v/>
      </c>
      <c r="AD72" s="7">
        <f>IF(I72="","",FLOOR(I72*IF(T72&lt;&gt;"",N(U72),0.2)/100,10))</f>
        <v/>
      </c>
      <c r="AE72" s="7">
        <f>IF(I72="","",FLOOR(I72*IF(T72&lt;&gt;"",N(V72),(IF(E72="농지",3,4)-2)*0.2)/100,10))</f>
        <v/>
      </c>
      <c r="AF72" s="7">
        <f>IF(N72="","",ROUND(N72*N(O72)/100*N(P72)/12,0))</f>
        <v/>
      </c>
      <c r="AG72" s="7">
        <f>IF(I72="","",I72+AC72+AD72+AE72+N(K72)+N(L72)+N(M72)+N(Q72)+N(AF72))</f>
        <v/>
      </c>
      <c r="AH72" s="7">
        <f>IF(OR(R72="",S72=""),"",ROUND(R72*S72/100,0))</f>
        <v/>
      </c>
      <c r="AI72" s="7">
        <f>IF(OR(AG72="",R72=""),"",R72-N(AH72)-AG72)</f>
        <v/>
      </c>
      <c r="AJ72" s="6">
        <f>IF(AI72="","",ROUND(AI72/AG72*100,1))</f>
        <v/>
      </c>
    </row>
    <row r="73">
      <c r="A73" s="3" t="n"/>
      <c r="B73" s="3" t="n"/>
      <c r="C73" s="4" t="n"/>
      <c r="D73" s="3" t="n"/>
      <c r="E73" s="3" t="n"/>
      <c r="F73" s="3" t="n"/>
      <c r="G73" s="5" t="n"/>
      <c r="H73" s="5" t="n"/>
      <c r="I73" s="5" t="n"/>
      <c r="J73" s="5" t="n"/>
      <c r="K73" s="5" t="n"/>
      <c r="L73" s="5" t="n"/>
      <c r="M73" s="5" t="n"/>
      <c r="N73" s="5" t="n"/>
      <c r="O73" s="3" t="n"/>
      <c r="P73" s="3" t="n"/>
      <c r="Q73" s="5" t="n"/>
      <c r="R73" s="5" t="n"/>
      <c r="S73" s="3" t="n"/>
      <c r="T73" s="3" t="n"/>
      <c r="U73" s="3" t="n"/>
      <c r="V73" s="3" t="n"/>
      <c r="W73" s="3" t="n"/>
      <c r="X73" s="3" t="n"/>
      <c r="Y73" s="3" t="n"/>
      <c r="Z73" s="6">
        <f>IF(F73="","",ROUND(F73/3.305785,1))</f>
        <v/>
      </c>
      <c r="AA73" s="6">
        <f>IF(OR(G73="",I73=""),"",ROUND(I73/G73*100,1))</f>
        <v/>
      </c>
      <c r="AB73" s="7">
        <f>IF(OR(Z73="",I73=""),"",ROUND(I73/Z73,0))</f>
        <v/>
      </c>
      <c r="AC73" s="7">
        <f>IF(I73="","",FLOOR(I73*IF(T73&lt;&gt;"",T73,IF(E73="농지",3,4))/100,10))</f>
        <v/>
      </c>
      <c r="AD73" s="7">
        <f>IF(I73="","",FLOOR(I73*IF(T73&lt;&gt;"",N(U73),0.2)/100,10))</f>
        <v/>
      </c>
      <c r="AE73" s="7">
        <f>IF(I73="","",FLOOR(I73*IF(T73&lt;&gt;"",N(V73),(IF(E73="농지",3,4)-2)*0.2)/100,10))</f>
        <v/>
      </c>
      <c r="AF73" s="7">
        <f>IF(N73="","",ROUND(N73*N(O73)/100*N(P73)/12,0))</f>
        <v/>
      </c>
      <c r="AG73" s="7">
        <f>IF(I73="","",I73+AC73+AD73+AE73+N(K73)+N(L73)+N(M73)+N(Q73)+N(AF73))</f>
        <v/>
      </c>
      <c r="AH73" s="7">
        <f>IF(OR(R73="",S73=""),"",ROUND(R73*S73/100,0))</f>
        <v/>
      </c>
      <c r="AI73" s="7">
        <f>IF(OR(AG73="",R73=""),"",R73-N(AH73)-AG73)</f>
        <v/>
      </c>
      <c r="AJ73" s="6">
        <f>IF(AI73="","",ROUND(AI73/AG73*100,1))</f>
        <v/>
      </c>
    </row>
    <row r="74">
      <c r="A74" s="3" t="n"/>
      <c r="B74" s="3" t="n"/>
      <c r="C74" s="4" t="n"/>
      <c r="D74" s="3" t="n"/>
      <c r="E74" s="3" t="n"/>
      <c r="F74" s="3" t="n"/>
      <c r="G74" s="5" t="n"/>
      <c r="H74" s="5" t="n"/>
      <c r="I74" s="5" t="n"/>
      <c r="J74" s="5" t="n"/>
      <c r="K74" s="5" t="n"/>
      <c r="L74" s="5" t="n"/>
      <c r="M74" s="5" t="n"/>
      <c r="N74" s="5" t="n"/>
      <c r="O74" s="3" t="n"/>
      <c r="P74" s="3" t="n"/>
      <c r="Q74" s="5" t="n"/>
      <c r="R74" s="5" t="n"/>
      <c r="S74" s="3" t="n"/>
      <c r="T74" s="3" t="n"/>
      <c r="U74" s="3" t="n"/>
      <c r="V74" s="3" t="n"/>
      <c r="W74" s="3" t="n"/>
      <c r="X74" s="3" t="n"/>
      <c r="Y74" s="3" t="n"/>
      <c r="Z74" s="6">
        <f>IF(F74="","",ROUND(F74/3.305785,1))</f>
        <v/>
      </c>
      <c r="AA74" s="6">
        <f>IF(OR(G74="",I74=""),"",ROUND(I74/G74*100,1))</f>
        <v/>
      </c>
      <c r="AB74" s="7">
        <f>IF(OR(Z74="",I74=""),"",ROUND(I74/Z74,0))</f>
        <v/>
      </c>
      <c r="AC74" s="7">
        <f>IF(I74="","",FLOOR(I74*IF(T74&lt;&gt;"",T74,IF(E74="농지",3,4))/100,10))</f>
        <v/>
      </c>
      <c r="AD74" s="7">
        <f>IF(I74="","",FLOOR(I74*IF(T74&lt;&gt;"",N(U74),0.2)/100,10))</f>
        <v/>
      </c>
      <c r="AE74" s="7">
        <f>IF(I74="","",FLOOR(I74*IF(T74&lt;&gt;"",N(V74),(IF(E74="농지",3,4)-2)*0.2)/100,10))</f>
        <v/>
      </c>
      <c r="AF74" s="7">
        <f>IF(N74="","",ROUND(N74*N(O74)/100*N(P74)/12,0))</f>
        <v/>
      </c>
      <c r="AG74" s="7">
        <f>IF(I74="","",I74+AC74+AD74+AE74+N(K74)+N(L74)+N(M74)+N(Q74)+N(AF74))</f>
        <v/>
      </c>
      <c r="AH74" s="7">
        <f>IF(OR(R74="",S74=""),"",ROUND(R74*S74/100,0))</f>
        <v/>
      </c>
      <c r="AI74" s="7">
        <f>IF(OR(AG74="",R74=""),"",R74-N(AH74)-AG74)</f>
        <v/>
      </c>
      <c r="AJ74" s="6">
        <f>IF(AI74="","",ROUND(AI74/AG74*100,1))</f>
        <v/>
      </c>
    </row>
    <row r="75">
      <c r="A75" s="3" t="n"/>
      <c r="B75" s="3" t="n"/>
      <c r="C75" s="4" t="n"/>
      <c r="D75" s="3" t="n"/>
      <c r="E75" s="3" t="n"/>
      <c r="F75" s="3" t="n"/>
      <c r="G75" s="5" t="n"/>
      <c r="H75" s="5" t="n"/>
      <c r="I75" s="5" t="n"/>
      <c r="J75" s="5" t="n"/>
      <c r="K75" s="5" t="n"/>
      <c r="L75" s="5" t="n"/>
      <c r="M75" s="5" t="n"/>
      <c r="N75" s="5" t="n"/>
      <c r="O75" s="3" t="n"/>
      <c r="P75" s="3" t="n"/>
      <c r="Q75" s="5" t="n"/>
      <c r="R75" s="5" t="n"/>
      <c r="S75" s="3" t="n"/>
      <c r="T75" s="3" t="n"/>
      <c r="U75" s="3" t="n"/>
      <c r="V75" s="3" t="n"/>
      <c r="W75" s="3" t="n"/>
      <c r="X75" s="3" t="n"/>
      <c r="Y75" s="3" t="n"/>
      <c r="Z75" s="6">
        <f>IF(F75="","",ROUND(F75/3.305785,1))</f>
        <v/>
      </c>
      <c r="AA75" s="6">
        <f>IF(OR(G75="",I75=""),"",ROUND(I75/G75*100,1))</f>
        <v/>
      </c>
      <c r="AB75" s="7">
        <f>IF(OR(Z75="",I75=""),"",ROUND(I75/Z75,0))</f>
        <v/>
      </c>
      <c r="AC75" s="7">
        <f>IF(I75="","",FLOOR(I75*IF(T75&lt;&gt;"",T75,IF(E75="농지",3,4))/100,10))</f>
        <v/>
      </c>
      <c r="AD75" s="7">
        <f>IF(I75="","",FLOOR(I75*IF(T75&lt;&gt;"",N(U75),0.2)/100,10))</f>
        <v/>
      </c>
      <c r="AE75" s="7">
        <f>IF(I75="","",FLOOR(I75*IF(T75&lt;&gt;"",N(V75),(IF(E75="농지",3,4)-2)*0.2)/100,10))</f>
        <v/>
      </c>
      <c r="AF75" s="7">
        <f>IF(N75="","",ROUND(N75*N(O75)/100*N(P75)/12,0))</f>
        <v/>
      </c>
      <c r="AG75" s="7">
        <f>IF(I75="","",I75+AC75+AD75+AE75+N(K75)+N(L75)+N(M75)+N(Q75)+N(AF75))</f>
        <v/>
      </c>
      <c r="AH75" s="7">
        <f>IF(OR(R75="",S75=""),"",ROUND(R75*S75/100,0))</f>
        <v/>
      </c>
      <c r="AI75" s="7">
        <f>IF(OR(AG75="",R75=""),"",R75-N(AH75)-AG75)</f>
        <v/>
      </c>
      <c r="AJ75" s="6">
        <f>IF(AI75="","",ROUND(AI75/AG75*100,1))</f>
        <v/>
      </c>
    </row>
    <row r="76">
      <c r="A76" s="3" t="n"/>
      <c r="B76" s="3" t="n"/>
      <c r="C76" s="4" t="n"/>
      <c r="D76" s="3" t="n"/>
      <c r="E76" s="3" t="n"/>
      <c r="F76" s="3" t="n"/>
      <c r="G76" s="5" t="n"/>
      <c r="H76" s="5" t="n"/>
      <c r="I76" s="5" t="n"/>
      <c r="J76" s="5" t="n"/>
      <c r="K76" s="5" t="n"/>
      <c r="L76" s="5" t="n"/>
      <c r="M76" s="5" t="n"/>
      <c r="N76" s="5" t="n"/>
      <c r="O76" s="3" t="n"/>
      <c r="P76" s="3" t="n"/>
      <c r="Q76" s="5" t="n"/>
      <c r="R76" s="5" t="n"/>
      <c r="S76" s="3" t="n"/>
      <c r="T76" s="3" t="n"/>
      <c r="U76" s="3" t="n"/>
      <c r="V76" s="3" t="n"/>
      <c r="W76" s="3" t="n"/>
      <c r="X76" s="3" t="n"/>
      <c r="Y76" s="3" t="n"/>
      <c r="Z76" s="6">
        <f>IF(F76="","",ROUND(F76/3.305785,1))</f>
        <v/>
      </c>
      <c r="AA76" s="6">
        <f>IF(OR(G76="",I76=""),"",ROUND(I76/G76*100,1))</f>
        <v/>
      </c>
      <c r="AB76" s="7">
        <f>IF(OR(Z76="",I76=""),"",ROUND(I76/Z76,0))</f>
        <v/>
      </c>
      <c r="AC76" s="7">
        <f>IF(I76="","",FLOOR(I76*IF(T76&lt;&gt;"",T76,IF(E76="농지",3,4))/100,10))</f>
        <v/>
      </c>
      <c r="AD76" s="7">
        <f>IF(I76="","",FLOOR(I76*IF(T76&lt;&gt;"",N(U76),0.2)/100,10))</f>
        <v/>
      </c>
      <c r="AE76" s="7">
        <f>IF(I76="","",FLOOR(I76*IF(T76&lt;&gt;"",N(V76),(IF(E76="농지",3,4)-2)*0.2)/100,10))</f>
        <v/>
      </c>
      <c r="AF76" s="7">
        <f>IF(N76="","",ROUND(N76*N(O76)/100*N(P76)/12,0))</f>
        <v/>
      </c>
      <c r="AG76" s="7">
        <f>IF(I76="","",I76+AC76+AD76+AE76+N(K76)+N(L76)+N(M76)+N(Q76)+N(AF76))</f>
        <v/>
      </c>
      <c r="AH76" s="7">
        <f>IF(OR(R76="",S76=""),"",ROUND(R76*S76/100,0))</f>
        <v/>
      </c>
      <c r="AI76" s="7">
        <f>IF(OR(AG76="",R76=""),"",R76-N(AH76)-AG76)</f>
        <v/>
      </c>
      <c r="AJ76" s="6">
        <f>IF(AI76="","",ROUND(AI76/AG76*100,1))</f>
        <v/>
      </c>
    </row>
    <row r="77">
      <c r="A77" s="3" t="n"/>
      <c r="B77" s="3" t="n"/>
      <c r="C77" s="4" t="n"/>
      <c r="D77" s="3" t="n"/>
      <c r="E77" s="3" t="n"/>
      <c r="F77" s="3" t="n"/>
      <c r="G77" s="5" t="n"/>
      <c r="H77" s="5" t="n"/>
      <c r="I77" s="5" t="n"/>
      <c r="J77" s="5" t="n"/>
      <c r="K77" s="5" t="n"/>
      <c r="L77" s="5" t="n"/>
      <c r="M77" s="5" t="n"/>
      <c r="N77" s="5" t="n"/>
      <c r="O77" s="3" t="n"/>
      <c r="P77" s="3" t="n"/>
      <c r="Q77" s="5" t="n"/>
      <c r="R77" s="5" t="n"/>
      <c r="S77" s="3" t="n"/>
      <c r="T77" s="3" t="n"/>
      <c r="U77" s="3" t="n"/>
      <c r="V77" s="3" t="n"/>
      <c r="W77" s="3" t="n"/>
      <c r="X77" s="3" t="n"/>
      <c r="Y77" s="3" t="n"/>
      <c r="Z77" s="6">
        <f>IF(F77="","",ROUND(F77/3.305785,1))</f>
        <v/>
      </c>
      <c r="AA77" s="6">
        <f>IF(OR(G77="",I77=""),"",ROUND(I77/G77*100,1))</f>
        <v/>
      </c>
      <c r="AB77" s="7">
        <f>IF(OR(Z77="",I77=""),"",ROUND(I77/Z77,0))</f>
        <v/>
      </c>
      <c r="AC77" s="7">
        <f>IF(I77="","",FLOOR(I77*IF(T77&lt;&gt;"",T77,IF(E77="농지",3,4))/100,10))</f>
        <v/>
      </c>
      <c r="AD77" s="7">
        <f>IF(I77="","",FLOOR(I77*IF(T77&lt;&gt;"",N(U77),0.2)/100,10))</f>
        <v/>
      </c>
      <c r="AE77" s="7">
        <f>IF(I77="","",FLOOR(I77*IF(T77&lt;&gt;"",N(V77),(IF(E77="농지",3,4)-2)*0.2)/100,10))</f>
        <v/>
      </c>
      <c r="AF77" s="7">
        <f>IF(N77="","",ROUND(N77*N(O77)/100*N(P77)/12,0))</f>
        <v/>
      </c>
      <c r="AG77" s="7">
        <f>IF(I77="","",I77+AC77+AD77+AE77+N(K77)+N(L77)+N(M77)+N(Q77)+N(AF77))</f>
        <v/>
      </c>
      <c r="AH77" s="7">
        <f>IF(OR(R77="",S77=""),"",ROUND(R77*S77/100,0))</f>
        <v/>
      </c>
      <c r="AI77" s="7">
        <f>IF(OR(AG77="",R77=""),"",R77-N(AH77)-AG77)</f>
        <v/>
      </c>
      <c r="AJ77" s="6">
        <f>IF(AI77="","",ROUND(AI77/AG77*100,1))</f>
        <v/>
      </c>
    </row>
    <row r="78">
      <c r="A78" s="3" t="n"/>
      <c r="B78" s="3" t="n"/>
      <c r="C78" s="4" t="n"/>
      <c r="D78" s="3" t="n"/>
      <c r="E78" s="3" t="n"/>
      <c r="F78" s="3" t="n"/>
      <c r="G78" s="5" t="n"/>
      <c r="H78" s="5" t="n"/>
      <c r="I78" s="5" t="n"/>
      <c r="J78" s="5" t="n"/>
      <c r="K78" s="5" t="n"/>
      <c r="L78" s="5" t="n"/>
      <c r="M78" s="5" t="n"/>
      <c r="N78" s="5" t="n"/>
      <c r="O78" s="3" t="n"/>
      <c r="P78" s="3" t="n"/>
      <c r="Q78" s="5" t="n"/>
      <c r="R78" s="5" t="n"/>
      <c r="S78" s="3" t="n"/>
      <c r="T78" s="3" t="n"/>
      <c r="U78" s="3" t="n"/>
      <c r="V78" s="3" t="n"/>
      <c r="W78" s="3" t="n"/>
      <c r="X78" s="3" t="n"/>
      <c r="Y78" s="3" t="n"/>
      <c r="Z78" s="6">
        <f>IF(F78="","",ROUND(F78/3.305785,1))</f>
        <v/>
      </c>
      <c r="AA78" s="6">
        <f>IF(OR(G78="",I78=""),"",ROUND(I78/G78*100,1))</f>
        <v/>
      </c>
      <c r="AB78" s="7">
        <f>IF(OR(Z78="",I78=""),"",ROUND(I78/Z78,0))</f>
        <v/>
      </c>
      <c r="AC78" s="7">
        <f>IF(I78="","",FLOOR(I78*IF(T78&lt;&gt;"",T78,IF(E78="농지",3,4))/100,10))</f>
        <v/>
      </c>
      <c r="AD78" s="7">
        <f>IF(I78="","",FLOOR(I78*IF(T78&lt;&gt;"",N(U78),0.2)/100,10))</f>
        <v/>
      </c>
      <c r="AE78" s="7">
        <f>IF(I78="","",FLOOR(I78*IF(T78&lt;&gt;"",N(V78),(IF(E78="농지",3,4)-2)*0.2)/100,10))</f>
        <v/>
      </c>
      <c r="AF78" s="7">
        <f>IF(N78="","",ROUND(N78*N(O78)/100*N(P78)/12,0))</f>
        <v/>
      </c>
      <c r="AG78" s="7">
        <f>IF(I78="","",I78+AC78+AD78+AE78+N(K78)+N(L78)+N(M78)+N(Q78)+N(AF78))</f>
        <v/>
      </c>
      <c r="AH78" s="7">
        <f>IF(OR(R78="",S78=""),"",ROUND(R78*S78/100,0))</f>
        <v/>
      </c>
      <c r="AI78" s="7">
        <f>IF(OR(AG78="",R78=""),"",R78-N(AH78)-AG78)</f>
        <v/>
      </c>
      <c r="AJ78" s="6">
        <f>IF(AI78="","",ROUND(AI78/AG78*100,1))</f>
        <v/>
      </c>
    </row>
    <row r="79">
      <c r="A79" s="3" t="n"/>
      <c r="B79" s="3" t="n"/>
      <c r="C79" s="4" t="n"/>
      <c r="D79" s="3" t="n"/>
      <c r="E79" s="3" t="n"/>
      <c r="F79" s="3" t="n"/>
      <c r="G79" s="5" t="n"/>
      <c r="H79" s="5" t="n"/>
      <c r="I79" s="5" t="n"/>
      <c r="J79" s="5" t="n"/>
      <c r="K79" s="5" t="n"/>
      <c r="L79" s="5" t="n"/>
      <c r="M79" s="5" t="n"/>
      <c r="N79" s="5" t="n"/>
      <c r="O79" s="3" t="n"/>
      <c r="P79" s="3" t="n"/>
      <c r="Q79" s="5" t="n"/>
      <c r="R79" s="5" t="n"/>
      <c r="S79" s="3" t="n"/>
      <c r="T79" s="3" t="n"/>
      <c r="U79" s="3" t="n"/>
      <c r="V79" s="3" t="n"/>
      <c r="W79" s="3" t="n"/>
      <c r="X79" s="3" t="n"/>
      <c r="Y79" s="3" t="n"/>
      <c r="Z79" s="6">
        <f>IF(F79="","",ROUND(F79/3.305785,1))</f>
        <v/>
      </c>
      <c r="AA79" s="6">
        <f>IF(OR(G79="",I79=""),"",ROUND(I79/G79*100,1))</f>
        <v/>
      </c>
      <c r="AB79" s="7">
        <f>IF(OR(Z79="",I79=""),"",ROUND(I79/Z79,0))</f>
        <v/>
      </c>
      <c r="AC79" s="7">
        <f>IF(I79="","",FLOOR(I79*IF(T79&lt;&gt;"",T79,IF(E79="농지",3,4))/100,10))</f>
        <v/>
      </c>
      <c r="AD79" s="7">
        <f>IF(I79="","",FLOOR(I79*IF(T79&lt;&gt;"",N(U79),0.2)/100,10))</f>
        <v/>
      </c>
      <c r="AE79" s="7">
        <f>IF(I79="","",FLOOR(I79*IF(T79&lt;&gt;"",N(V79),(IF(E79="농지",3,4)-2)*0.2)/100,10))</f>
        <v/>
      </c>
      <c r="AF79" s="7">
        <f>IF(N79="","",ROUND(N79*N(O79)/100*N(P79)/12,0))</f>
        <v/>
      </c>
      <c r="AG79" s="7">
        <f>IF(I79="","",I79+AC79+AD79+AE79+N(K79)+N(L79)+N(M79)+N(Q79)+N(AF79))</f>
        <v/>
      </c>
      <c r="AH79" s="7">
        <f>IF(OR(R79="",S79=""),"",ROUND(R79*S79/100,0))</f>
        <v/>
      </c>
      <c r="AI79" s="7">
        <f>IF(OR(AG79="",R79=""),"",R79-N(AH79)-AG79)</f>
        <v/>
      </c>
      <c r="AJ79" s="6">
        <f>IF(AI79="","",ROUND(AI79/AG79*100,1))</f>
        <v/>
      </c>
    </row>
    <row r="80">
      <c r="A80" s="3" t="n"/>
      <c r="B80" s="3" t="n"/>
      <c r="C80" s="4" t="n"/>
      <c r="D80" s="3" t="n"/>
      <c r="E80" s="3" t="n"/>
      <c r="F80" s="3" t="n"/>
      <c r="G80" s="5" t="n"/>
      <c r="H80" s="5" t="n"/>
      <c r="I80" s="5" t="n"/>
      <c r="J80" s="5" t="n"/>
      <c r="K80" s="5" t="n"/>
      <c r="L80" s="5" t="n"/>
      <c r="M80" s="5" t="n"/>
      <c r="N80" s="5" t="n"/>
      <c r="O80" s="3" t="n"/>
      <c r="P80" s="3" t="n"/>
      <c r="Q80" s="5" t="n"/>
      <c r="R80" s="5" t="n"/>
      <c r="S80" s="3" t="n"/>
      <c r="T80" s="3" t="n"/>
      <c r="U80" s="3" t="n"/>
      <c r="V80" s="3" t="n"/>
      <c r="W80" s="3" t="n"/>
      <c r="X80" s="3" t="n"/>
      <c r="Y80" s="3" t="n"/>
      <c r="Z80" s="6">
        <f>IF(F80="","",ROUND(F80/3.305785,1))</f>
        <v/>
      </c>
      <c r="AA80" s="6">
        <f>IF(OR(G80="",I80=""),"",ROUND(I80/G80*100,1))</f>
        <v/>
      </c>
      <c r="AB80" s="7">
        <f>IF(OR(Z80="",I80=""),"",ROUND(I80/Z80,0))</f>
        <v/>
      </c>
      <c r="AC80" s="7">
        <f>IF(I80="","",FLOOR(I80*IF(T80&lt;&gt;"",T80,IF(E80="농지",3,4))/100,10))</f>
        <v/>
      </c>
      <c r="AD80" s="7">
        <f>IF(I80="","",FLOOR(I80*IF(T80&lt;&gt;"",N(U80),0.2)/100,10))</f>
        <v/>
      </c>
      <c r="AE80" s="7">
        <f>IF(I80="","",FLOOR(I80*IF(T80&lt;&gt;"",N(V80),(IF(E80="농지",3,4)-2)*0.2)/100,10))</f>
        <v/>
      </c>
      <c r="AF80" s="7">
        <f>IF(N80="","",ROUND(N80*N(O80)/100*N(P80)/12,0))</f>
        <v/>
      </c>
      <c r="AG80" s="7">
        <f>IF(I80="","",I80+AC80+AD80+AE80+N(K80)+N(L80)+N(M80)+N(Q80)+N(AF80))</f>
        <v/>
      </c>
      <c r="AH80" s="7">
        <f>IF(OR(R80="",S80=""),"",ROUND(R80*S80/100,0))</f>
        <v/>
      </c>
      <c r="AI80" s="7">
        <f>IF(OR(AG80="",R80=""),"",R80-N(AH80)-AG80)</f>
        <v/>
      </c>
      <c r="AJ80" s="6">
        <f>IF(AI80="","",ROUND(AI80/AG80*100,1))</f>
        <v/>
      </c>
    </row>
    <row r="81">
      <c r="A81" s="3" t="n"/>
      <c r="B81" s="3" t="n"/>
      <c r="C81" s="4" t="n"/>
      <c r="D81" s="3" t="n"/>
      <c r="E81" s="3" t="n"/>
      <c r="F81" s="3" t="n"/>
      <c r="G81" s="5" t="n"/>
      <c r="H81" s="5" t="n"/>
      <c r="I81" s="5" t="n"/>
      <c r="J81" s="5" t="n"/>
      <c r="K81" s="5" t="n"/>
      <c r="L81" s="5" t="n"/>
      <c r="M81" s="5" t="n"/>
      <c r="N81" s="5" t="n"/>
      <c r="O81" s="3" t="n"/>
      <c r="P81" s="3" t="n"/>
      <c r="Q81" s="5" t="n"/>
      <c r="R81" s="5" t="n"/>
      <c r="S81" s="3" t="n"/>
      <c r="T81" s="3" t="n"/>
      <c r="U81" s="3" t="n"/>
      <c r="V81" s="3" t="n"/>
      <c r="W81" s="3" t="n"/>
      <c r="X81" s="3" t="n"/>
      <c r="Y81" s="3" t="n"/>
      <c r="Z81" s="6">
        <f>IF(F81="","",ROUND(F81/3.305785,1))</f>
        <v/>
      </c>
      <c r="AA81" s="6">
        <f>IF(OR(G81="",I81=""),"",ROUND(I81/G81*100,1))</f>
        <v/>
      </c>
      <c r="AB81" s="7">
        <f>IF(OR(Z81="",I81=""),"",ROUND(I81/Z81,0))</f>
        <v/>
      </c>
      <c r="AC81" s="7">
        <f>IF(I81="","",FLOOR(I81*IF(T81&lt;&gt;"",T81,IF(E81="농지",3,4))/100,10))</f>
        <v/>
      </c>
      <c r="AD81" s="7">
        <f>IF(I81="","",FLOOR(I81*IF(T81&lt;&gt;"",N(U81),0.2)/100,10))</f>
        <v/>
      </c>
      <c r="AE81" s="7">
        <f>IF(I81="","",FLOOR(I81*IF(T81&lt;&gt;"",N(V81),(IF(E81="농지",3,4)-2)*0.2)/100,10))</f>
        <v/>
      </c>
      <c r="AF81" s="7">
        <f>IF(N81="","",ROUND(N81*N(O81)/100*N(P81)/12,0))</f>
        <v/>
      </c>
      <c r="AG81" s="7">
        <f>IF(I81="","",I81+AC81+AD81+AE81+N(K81)+N(L81)+N(M81)+N(Q81)+N(AF81))</f>
        <v/>
      </c>
      <c r="AH81" s="7">
        <f>IF(OR(R81="",S81=""),"",ROUND(R81*S81/100,0))</f>
        <v/>
      </c>
      <c r="AI81" s="7">
        <f>IF(OR(AG81="",R81=""),"",R81-N(AH81)-AG81)</f>
        <v/>
      </c>
      <c r="AJ81" s="6">
        <f>IF(AI81="","",ROUND(AI81/AG81*100,1))</f>
        <v/>
      </c>
    </row>
    <row r="82">
      <c r="A82" s="3" t="n"/>
      <c r="B82" s="3" t="n"/>
      <c r="C82" s="4" t="n"/>
      <c r="D82" s="3" t="n"/>
      <c r="E82" s="3" t="n"/>
      <c r="F82" s="3" t="n"/>
      <c r="G82" s="5" t="n"/>
      <c r="H82" s="5" t="n"/>
      <c r="I82" s="5" t="n"/>
      <c r="J82" s="5" t="n"/>
      <c r="K82" s="5" t="n"/>
      <c r="L82" s="5" t="n"/>
      <c r="M82" s="5" t="n"/>
      <c r="N82" s="5" t="n"/>
      <c r="O82" s="3" t="n"/>
      <c r="P82" s="3" t="n"/>
      <c r="Q82" s="5" t="n"/>
      <c r="R82" s="5" t="n"/>
      <c r="S82" s="3" t="n"/>
      <c r="T82" s="3" t="n"/>
      <c r="U82" s="3" t="n"/>
      <c r="V82" s="3" t="n"/>
      <c r="W82" s="3" t="n"/>
      <c r="X82" s="3" t="n"/>
      <c r="Y82" s="3" t="n"/>
      <c r="Z82" s="6">
        <f>IF(F82="","",ROUND(F82/3.305785,1))</f>
        <v/>
      </c>
      <c r="AA82" s="6">
        <f>IF(OR(G82="",I82=""),"",ROUND(I82/G82*100,1))</f>
        <v/>
      </c>
      <c r="AB82" s="7">
        <f>IF(OR(Z82="",I82=""),"",ROUND(I82/Z82,0))</f>
        <v/>
      </c>
      <c r="AC82" s="7">
        <f>IF(I82="","",FLOOR(I82*IF(T82&lt;&gt;"",T82,IF(E82="농지",3,4))/100,10))</f>
        <v/>
      </c>
      <c r="AD82" s="7">
        <f>IF(I82="","",FLOOR(I82*IF(T82&lt;&gt;"",N(U82),0.2)/100,10))</f>
        <v/>
      </c>
      <c r="AE82" s="7">
        <f>IF(I82="","",FLOOR(I82*IF(T82&lt;&gt;"",N(V82),(IF(E82="농지",3,4)-2)*0.2)/100,10))</f>
        <v/>
      </c>
      <c r="AF82" s="7">
        <f>IF(N82="","",ROUND(N82*N(O82)/100*N(P82)/12,0))</f>
        <v/>
      </c>
      <c r="AG82" s="7">
        <f>IF(I82="","",I82+AC82+AD82+AE82+N(K82)+N(L82)+N(M82)+N(Q82)+N(AF82))</f>
        <v/>
      </c>
      <c r="AH82" s="7">
        <f>IF(OR(R82="",S82=""),"",ROUND(R82*S82/100,0))</f>
        <v/>
      </c>
      <c r="AI82" s="7">
        <f>IF(OR(AG82="",R82=""),"",R82-N(AH82)-AG82)</f>
        <v/>
      </c>
      <c r="AJ82" s="6">
        <f>IF(AI82="","",ROUND(AI82/AG82*100,1))</f>
        <v/>
      </c>
    </row>
    <row r="83">
      <c r="A83" s="3" t="n"/>
      <c r="B83" s="3" t="n"/>
      <c r="C83" s="4" t="n"/>
      <c r="D83" s="3" t="n"/>
      <c r="E83" s="3" t="n"/>
      <c r="F83" s="3" t="n"/>
      <c r="G83" s="5" t="n"/>
      <c r="H83" s="5" t="n"/>
      <c r="I83" s="5" t="n"/>
      <c r="J83" s="5" t="n"/>
      <c r="K83" s="5" t="n"/>
      <c r="L83" s="5" t="n"/>
      <c r="M83" s="5" t="n"/>
      <c r="N83" s="5" t="n"/>
      <c r="O83" s="3" t="n"/>
      <c r="P83" s="3" t="n"/>
      <c r="Q83" s="5" t="n"/>
      <c r="R83" s="5" t="n"/>
      <c r="S83" s="3" t="n"/>
      <c r="T83" s="3" t="n"/>
      <c r="U83" s="3" t="n"/>
      <c r="V83" s="3" t="n"/>
      <c r="W83" s="3" t="n"/>
      <c r="X83" s="3" t="n"/>
      <c r="Y83" s="3" t="n"/>
      <c r="Z83" s="6">
        <f>IF(F83="","",ROUND(F83/3.305785,1))</f>
        <v/>
      </c>
      <c r="AA83" s="6">
        <f>IF(OR(G83="",I83=""),"",ROUND(I83/G83*100,1))</f>
        <v/>
      </c>
      <c r="AB83" s="7">
        <f>IF(OR(Z83="",I83=""),"",ROUND(I83/Z83,0))</f>
        <v/>
      </c>
      <c r="AC83" s="7">
        <f>IF(I83="","",FLOOR(I83*IF(T83&lt;&gt;"",T83,IF(E83="농지",3,4))/100,10))</f>
        <v/>
      </c>
      <c r="AD83" s="7">
        <f>IF(I83="","",FLOOR(I83*IF(T83&lt;&gt;"",N(U83),0.2)/100,10))</f>
        <v/>
      </c>
      <c r="AE83" s="7">
        <f>IF(I83="","",FLOOR(I83*IF(T83&lt;&gt;"",N(V83),(IF(E83="농지",3,4)-2)*0.2)/100,10))</f>
        <v/>
      </c>
      <c r="AF83" s="7">
        <f>IF(N83="","",ROUND(N83*N(O83)/100*N(P83)/12,0))</f>
        <v/>
      </c>
      <c r="AG83" s="7">
        <f>IF(I83="","",I83+AC83+AD83+AE83+N(K83)+N(L83)+N(M83)+N(Q83)+N(AF83))</f>
        <v/>
      </c>
      <c r="AH83" s="7">
        <f>IF(OR(R83="",S83=""),"",ROUND(R83*S83/100,0))</f>
        <v/>
      </c>
      <c r="AI83" s="7">
        <f>IF(OR(AG83="",R83=""),"",R83-N(AH83)-AG83)</f>
        <v/>
      </c>
      <c r="AJ83" s="6">
        <f>IF(AI83="","",ROUND(AI83/AG83*100,1))</f>
        <v/>
      </c>
    </row>
    <row r="84">
      <c r="A84" s="3" t="n"/>
      <c r="B84" s="3" t="n"/>
      <c r="C84" s="4" t="n"/>
      <c r="D84" s="3" t="n"/>
      <c r="E84" s="3" t="n"/>
      <c r="F84" s="3" t="n"/>
      <c r="G84" s="5" t="n"/>
      <c r="H84" s="5" t="n"/>
      <c r="I84" s="5" t="n"/>
      <c r="J84" s="5" t="n"/>
      <c r="K84" s="5" t="n"/>
      <c r="L84" s="5" t="n"/>
      <c r="M84" s="5" t="n"/>
      <c r="N84" s="5" t="n"/>
      <c r="O84" s="3" t="n"/>
      <c r="P84" s="3" t="n"/>
      <c r="Q84" s="5" t="n"/>
      <c r="R84" s="5" t="n"/>
      <c r="S84" s="3" t="n"/>
      <c r="T84" s="3" t="n"/>
      <c r="U84" s="3" t="n"/>
      <c r="V84" s="3" t="n"/>
      <c r="W84" s="3" t="n"/>
      <c r="X84" s="3" t="n"/>
      <c r="Y84" s="3" t="n"/>
      <c r="Z84" s="6">
        <f>IF(F84="","",ROUND(F84/3.305785,1))</f>
        <v/>
      </c>
      <c r="AA84" s="6">
        <f>IF(OR(G84="",I84=""),"",ROUND(I84/G84*100,1))</f>
        <v/>
      </c>
      <c r="AB84" s="7">
        <f>IF(OR(Z84="",I84=""),"",ROUND(I84/Z84,0))</f>
        <v/>
      </c>
      <c r="AC84" s="7">
        <f>IF(I84="","",FLOOR(I84*IF(T84&lt;&gt;"",T84,IF(E84="농지",3,4))/100,10))</f>
        <v/>
      </c>
      <c r="AD84" s="7">
        <f>IF(I84="","",FLOOR(I84*IF(T84&lt;&gt;"",N(U84),0.2)/100,10))</f>
        <v/>
      </c>
      <c r="AE84" s="7">
        <f>IF(I84="","",FLOOR(I84*IF(T84&lt;&gt;"",N(V84),(IF(E84="농지",3,4)-2)*0.2)/100,10))</f>
        <v/>
      </c>
      <c r="AF84" s="7">
        <f>IF(N84="","",ROUND(N84*N(O84)/100*N(P84)/12,0))</f>
        <v/>
      </c>
      <c r="AG84" s="7">
        <f>IF(I84="","",I84+AC84+AD84+AE84+N(K84)+N(L84)+N(M84)+N(Q84)+N(AF84))</f>
        <v/>
      </c>
      <c r="AH84" s="7">
        <f>IF(OR(R84="",S84=""),"",ROUND(R84*S84/100,0))</f>
        <v/>
      </c>
      <c r="AI84" s="7">
        <f>IF(OR(AG84="",R84=""),"",R84-N(AH84)-AG84)</f>
        <v/>
      </c>
      <c r="AJ84" s="6">
        <f>IF(AI84="","",ROUND(AI84/AG84*100,1))</f>
        <v/>
      </c>
    </row>
    <row r="85">
      <c r="A85" s="3" t="n"/>
      <c r="B85" s="3" t="n"/>
      <c r="C85" s="4" t="n"/>
      <c r="D85" s="3" t="n"/>
      <c r="E85" s="3" t="n"/>
      <c r="F85" s="3" t="n"/>
      <c r="G85" s="5" t="n"/>
      <c r="H85" s="5" t="n"/>
      <c r="I85" s="5" t="n"/>
      <c r="J85" s="5" t="n"/>
      <c r="K85" s="5" t="n"/>
      <c r="L85" s="5" t="n"/>
      <c r="M85" s="5" t="n"/>
      <c r="N85" s="5" t="n"/>
      <c r="O85" s="3" t="n"/>
      <c r="P85" s="3" t="n"/>
      <c r="Q85" s="5" t="n"/>
      <c r="R85" s="5" t="n"/>
      <c r="S85" s="3" t="n"/>
      <c r="T85" s="3" t="n"/>
      <c r="U85" s="3" t="n"/>
      <c r="V85" s="3" t="n"/>
      <c r="W85" s="3" t="n"/>
      <c r="X85" s="3" t="n"/>
      <c r="Y85" s="3" t="n"/>
      <c r="Z85" s="6">
        <f>IF(F85="","",ROUND(F85/3.305785,1))</f>
        <v/>
      </c>
      <c r="AA85" s="6">
        <f>IF(OR(G85="",I85=""),"",ROUND(I85/G85*100,1))</f>
        <v/>
      </c>
      <c r="AB85" s="7">
        <f>IF(OR(Z85="",I85=""),"",ROUND(I85/Z85,0))</f>
        <v/>
      </c>
      <c r="AC85" s="7">
        <f>IF(I85="","",FLOOR(I85*IF(T85&lt;&gt;"",T85,IF(E85="농지",3,4))/100,10))</f>
        <v/>
      </c>
      <c r="AD85" s="7">
        <f>IF(I85="","",FLOOR(I85*IF(T85&lt;&gt;"",N(U85),0.2)/100,10))</f>
        <v/>
      </c>
      <c r="AE85" s="7">
        <f>IF(I85="","",FLOOR(I85*IF(T85&lt;&gt;"",N(V85),(IF(E85="농지",3,4)-2)*0.2)/100,10))</f>
        <v/>
      </c>
      <c r="AF85" s="7">
        <f>IF(N85="","",ROUND(N85*N(O85)/100*N(P85)/12,0))</f>
        <v/>
      </c>
      <c r="AG85" s="7">
        <f>IF(I85="","",I85+AC85+AD85+AE85+N(K85)+N(L85)+N(M85)+N(Q85)+N(AF85))</f>
        <v/>
      </c>
      <c r="AH85" s="7">
        <f>IF(OR(R85="",S85=""),"",ROUND(R85*S85/100,0))</f>
        <v/>
      </c>
      <c r="AI85" s="7">
        <f>IF(OR(AG85="",R85=""),"",R85-N(AH85)-AG85)</f>
        <v/>
      </c>
      <c r="AJ85" s="6">
        <f>IF(AI85="","",ROUND(AI85/AG85*100,1))</f>
        <v/>
      </c>
    </row>
    <row r="86">
      <c r="A86" s="3" t="n"/>
      <c r="B86" s="3" t="n"/>
      <c r="C86" s="4" t="n"/>
      <c r="D86" s="3" t="n"/>
      <c r="E86" s="3" t="n"/>
      <c r="F86" s="3" t="n"/>
      <c r="G86" s="5" t="n"/>
      <c r="H86" s="5" t="n"/>
      <c r="I86" s="5" t="n"/>
      <c r="J86" s="5" t="n"/>
      <c r="K86" s="5" t="n"/>
      <c r="L86" s="5" t="n"/>
      <c r="M86" s="5" t="n"/>
      <c r="N86" s="5" t="n"/>
      <c r="O86" s="3" t="n"/>
      <c r="P86" s="3" t="n"/>
      <c r="Q86" s="5" t="n"/>
      <c r="R86" s="5" t="n"/>
      <c r="S86" s="3" t="n"/>
      <c r="T86" s="3" t="n"/>
      <c r="U86" s="3" t="n"/>
      <c r="V86" s="3" t="n"/>
      <c r="W86" s="3" t="n"/>
      <c r="X86" s="3" t="n"/>
      <c r="Y86" s="3" t="n"/>
      <c r="Z86" s="6">
        <f>IF(F86="","",ROUND(F86/3.305785,1))</f>
        <v/>
      </c>
      <c r="AA86" s="6">
        <f>IF(OR(G86="",I86=""),"",ROUND(I86/G86*100,1))</f>
        <v/>
      </c>
      <c r="AB86" s="7">
        <f>IF(OR(Z86="",I86=""),"",ROUND(I86/Z86,0))</f>
        <v/>
      </c>
      <c r="AC86" s="7">
        <f>IF(I86="","",FLOOR(I86*IF(T86&lt;&gt;"",T86,IF(E86="농지",3,4))/100,10))</f>
        <v/>
      </c>
      <c r="AD86" s="7">
        <f>IF(I86="","",FLOOR(I86*IF(T86&lt;&gt;"",N(U86),0.2)/100,10))</f>
        <v/>
      </c>
      <c r="AE86" s="7">
        <f>IF(I86="","",FLOOR(I86*IF(T86&lt;&gt;"",N(V86),(IF(E86="농지",3,4)-2)*0.2)/100,10))</f>
        <v/>
      </c>
      <c r="AF86" s="7">
        <f>IF(N86="","",ROUND(N86*N(O86)/100*N(P86)/12,0))</f>
        <v/>
      </c>
      <c r="AG86" s="7">
        <f>IF(I86="","",I86+AC86+AD86+AE86+N(K86)+N(L86)+N(M86)+N(Q86)+N(AF86))</f>
        <v/>
      </c>
      <c r="AH86" s="7">
        <f>IF(OR(R86="",S86=""),"",ROUND(R86*S86/100,0))</f>
        <v/>
      </c>
      <c r="AI86" s="7">
        <f>IF(OR(AG86="",R86=""),"",R86-N(AH86)-AG86)</f>
        <v/>
      </c>
      <c r="AJ86" s="6">
        <f>IF(AI86="","",ROUND(AI86/AG86*100,1))</f>
        <v/>
      </c>
    </row>
    <row r="87">
      <c r="A87" s="3" t="n"/>
      <c r="B87" s="3" t="n"/>
      <c r="C87" s="4" t="n"/>
      <c r="D87" s="3" t="n"/>
      <c r="E87" s="3" t="n"/>
      <c r="F87" s="3" t="n"/>
      <c r="G87" s="5" t="n"/>
      <c r="H87" s="5" t="n"/>
      <c r="I87" s="5" t="n"/>
      <c r="J87" s="5" t="n"/>
      <c r="K87" s="5" t="n"/>
      <c r="L87" s="5" t="n"/>
      <c r="M87" s="5" t="n"/>
      <c r="N87" s="5" t="n"/>
      <c r="O87" s="3" t="n"/>
      <c r="P87" s="3" t="n"/>
      <c r="Q87" s="5" t="n"/>
      <c r="R87" s="5" t="n"/>
      <c r="S87" s="3" t="n"/>
      <c r="T87" s="3" t="n"/>
      <c r="U87" s="3" t="n"/>
      <c r="V87" s="3" t="n"/>
      <c r="W87" s="3" t="n"/>
      <c r="X87" s="3" t="n"/>
      <c r="Y87" s="3" t="n"/>
      <c r="Z87" s="6">
        <f>IF(F87="","",ROUND(F87/3.305785,1))</f>
        <v/>
      </c>
      <c r="AA87" s="6">
        <f>IF(OR(G87="",I87=""),"",ROUND(I87/G87*100,1))</f>
        <v/>
      </c>
      <c r="AB87" s="7">
        <f>IF(OR(Z87="",I87=""),"",ROUND(I87/Z87,0))</f>
        <v/>
      </c>
      <c r="AC87" s="7">
        <f>IF(I87="","",FLOOR(I87*IF(T87&lt;&gt;"",T87,IF(E87="농지",3,4))/100,10))</f>
        <v/>
      </c>
      <c r="AD87" s="7">
        <f>IF(I87="","",FLOOR(I87*IF(T87&lt;&gt;"",N(U87),0.2)/100,10))</f>
        <v/>
      </c>
      <c r="AE87" s="7">
        <f>IF(I87="","",FLOOR(I87*IF(T87&lt;&gt;"",N(V87),(IF(E87="농지",3,4)-2)*0.2)/100,10))</f>
        <v/>
      </c>
      <c r="AF87" s="7">
        <f>IF(N87="","",ROUND(N87*N(O87)/100*N(P87)/12,0))</f>
        <v/>
      </c>
      <c r="AG87" s="7">
        <f>IF(I87="","",I87+AC87+AD87+AE87+N(K87)+N(L87)+N(M87)+N(Q87)+N(AF87))</f>
        <v/>
      </c>
      <c r="AH87" s="7">
        <f>IF(OR(R87="",S87=""),"",ROUND(R87*S87/100,0))</f>
        <v/>
      </c>
      <c r="AI87" s="7">
        <f>IF(OR(AG87="",R87=""),"",R87-N(AH87)-AG87)</f>
        <v/>
      </c>
      <c r="AJ87" s="6">
        <f>IF(AI87="","",ROUND(AI87/AG87*100,1))</f>
        <v/>
      </c>
    </row>
    <row r="88">
      <c r="A88" s="3" t="n"/>
      <c r="B88" s="3" t="n"/>
      <c r="C88" s="4" t="n"/>
      <c r="D88" s="3" t="n"/>
      <c r="E88" s="3" t="n"/>
      <c r="F88" s="3" t="n"/>
      <c r="G88" s="5" t="n"/>
      <c r="H88" s="5" t="n"/>
      <c r="I88" s="5" t="n"/>
      <c r="J88" s="5" t="n"/>
      <c r="K88" s="5" t="n"/>
      <c r="L88" s="5" t="n"/>
      <c r="M88" s="5" t="n"/>
      <c r="N88" s="5" t="n"/>
      <c r="O88" s="3" t="n"/>
      <c r="P88" s="3" t="n"/>
      <c r="Q88" s="5" t="n"/>
      <c r="R88" s="5" t="n"/>
      <c r="S88" s="3" t="n"/>
      <c r="T88" s="3" t="n"/>
      <c r="U88" s="3" t="n"/>
      <c r="V88" s="3" t="n"/>
      <c r="W88" s="3" t="n"/>
      <c r="X88" s="3" t="n"/>
      <c r="Y88" s="3" t="n"/>
      <c r="Z88" s="6">
        <f>IF(F88="","",ROUND(F88/3.305785,1))</f>
        <v/>
      </c>
      <c r="AA88" s="6">
        <f>IF(OR(G88="",I88=""),"",ROUND(I88/G88*100,1))</f>
        <v/>
      </c>
      <c r="AB88" s="7">
        <f>IF(OR(Z88="",I88=""),"",ROUND(I88/Z88,0))</f>
        <v/>
      </c>
      <c r="AC88" s="7">
        <f>IF(I88="","",FLOOR(I88*IF(T88&lt;&gt;"",T88,IF(E88="농지",3,4))/100,10))</f>
        <v/>
      </c>
      <c r="AD88" s="7">
        <f>IF(I88="","",FLOOR(I88*IF(T88&lt;&gt;"",N(U88),0.2)/100,10))</f>
        <v/>
      </c>
      <c r="AE88" s="7">
        <f>IF(I88="","",FLOOR(I88*IF(T88&lt;&gt;"",N(V88),(IF(E88="농지",3,4)-2)*0.2)/100,10))</f>
        <v/>
      </c>
      <c r="AF88" s="7">
        <f>IF(N88="","",ROUND(N88*N(O88)/100*N(P88)/12,0))</f>
        <v/>
      </c>
      <c r="AG88" s="7">
        <f>IF(I88="","",I88+AC88+AD88+AE88+N(K88)+N(L88)+N(M88)+N(Q88)+N(AF88))</f>
        <v/>
      </c>
      <c r="AH88" s="7">
        <f>IF(OR(R88="",S88=""),"",ROUND(R88*S88/100,0))</f>
        <v/>
      </c>
      <c r="AI88" s="7">
        <f>IF(OR(AG88="",R88=""),"",R88-N(AH88)-AG88)</f>
        <v/>
      </c>
      <c r="AJ88" s="6">
        <f>IF(AI88="","",ROUND(AI88/AG88*100,1))</f>
        <v/>
      </c>
    </row>
    <row r="89">
      <c r="A89" s="3" t="n"/>
      <c r="B89" s="3" t="n"/>
      <c r="C89" s="4" t="n"/>
      <c r="D89" s="3" t="n"/>
      <c r="E89" s="3" t="n"/>
      <c r="F89" s="3" t="n"/>
      <c r="G89" s="5" t="n"/>
      <c r="H89" s="5" t="n"/>
      <c r="I89" s="5" t="n"/>
      <c r="J89" s="5" t="n"/>
      <c r="K89" s="5" t="n"/>
      <c r="L89" s="5" t="n"/>
      <c r="M89" s="5" t="n"/>
      <c r="N89" s="5" t="n"/>
      <c r="O89" s="3" t="n"/>
      <c r="P89" s="3" t="n"/>
      <c r="Q89" s="5" t="n"/>
      <c r="R89" s="5" t="n"/>
      <c r="S89" s="3" t="n"/>
      <c r="T89" s="3" t="n"/>
      <c r="U89" s="3" t="n"/>
      <c r="V89" s="3" t="n"/>
      <c r="W89" s="3" t="n"/>
      <c r="X89" s="3" t="n"/>
      <c r="Y89" s="3" t="n"/>
      <c r="Z89" s="6">
        <f>IF(F89="","",ROUND(F89/3.305785,1))</f>
        <v/>
      </c>
      <c r="AA89" s="6">
        <f>IF(OR(G89="",I89=""),"",ROUND(I89/G89*100,1))</f>
        <v/>
      </c>
      <c r="AB89" s="7">
        <f>IF(OR(Z89="",I89=""),"",ROUND(I89/Z89,0))</f>
        <v/>
      </c>
      <c r="AC89" s="7">
        <f>IF(I89="","",FLOOR(I89*IF(T89&lt;&gt;"",T89,IF(E89="농지",3,4))/100,10))</f>
        <v/>
      </c>
      <c r="AD89" s="7">
        <f>IF(I89="","",FLOOR(I89*IF(T89&lt;&gt;"",N(U89),0.2)/100,10))</f>
        <v/>
      </c>
      <c r="AE89" s="7">
        <f>IF(I89="","",FLOOR(I89*IF(T89&lt;&gt;"",N(V89),(IF(E89="농지",3,4)-2)*0.2)/100,10))</f>
        <v/>
      </c>
      <c r="AF89" s="7">
        <f>IF(N89="","",ROUND(N89*N(O89)/100*N(P89)/12,0))</f>
        <v/>
      </c>
      <c r="AG89" s="7">
        <f>IF(I89="","",I89+AC89+AD89+AE89+N(K89)+N(L89)+N(M89)+N(Q89)+N(AF89))</f>
        <v/>
      </c>
      <c r="AH89" s="7">
        <f>IF(OR(R89="",S89=""),"",ROUND(R89*S89/100,0))</f>
        <v/>
      </c>
      <c r="AI89" s="7">
        <f>IF(OR(AG89="",R89=""),"",R89-N(AH89)-AG89)</f>
        <v/>
      </c>
      <c r="AJ89" s="6">
        <f>IF(AI89="","",ROUND(AI89/AG89*100,1))</f>
        <v/>
      </c>
    </row>
    <row r="90">
      <c r="A90" s="3" t="n"/>
      <c r="B90" s="3" t="n"/>
      <c r="C90" s="4" t="n"/>
      <c r="D90" s="3" t="n"/>
      <c r="E90" s="3" t="n"/>
      <c r="F90" s="3" t="n"/>
      <c r="G90" s="5" t="n"/>
      <c r="H90" s="5" t="n"/>
      <c r="I90" s="5" t="n"/>
      <c r="J90" s="5" t="n"/>
      <c r="K90" s="5" t="n"/>
      <c r="L90" s="5" t="n"/>
      <c r="M90" s="5" t="n"/>
      <c r="N90" s="5" t="n"/>
      <c r="O90" s="3" t="n"/>
      <c r="P90" s="3" t="n"/>
      <c r="Q90" s="5" t="n"/>
      <c r="R90" s="5" t="n"/>
      <c r="S90" s="3" t="n"/>
      <c r="T90" s="3" t="n"/>
      <c r="U90" s="3" t="n"/>
      <c r="V90" s="3" t="n"/>
      <c r="W90" s="3" t="n"/>
      <c r="X90" s="3" t="n"/>
      <c r="Y90" s="3" t="n"/>
      <c r="Z90" s="6">
        <f>IF(F90="","",ROUND(F90/3.305785,1))</f>
        <v/>
      </c>
      <c r="AA90" s="6">
        <f>IF(OR(G90="",I90=""),"",ROUND(I90/G90*100,1))</f>
        <v/>
      </c>
      <c r="AB90" s="7">
        <f>IF(OR(Z90="",I90=""),"",ROUND(I90/Z90,0))</f>
        <v/>
      </c>
      <c r="AC90" s="7">
        <f>IF(I90="","",FLOOR(I90*IF(T90&lt;&gt;"",T90,IF(E90="농지",3,4))/100,10))</f>
        <v/>
      </c>
      <c r="AD90" s="7">
        <f>IF(I90="","",FLOOR(I90*IF(T90&lt;&gt;"",N(U90),0.2)/100,10))</f>
        <v/>
      </c>
      <c r="AE90" s="7">
        <f>IF(I90="","",FLOOR(I90*IF(T90&lt;&gt;"",N(V90),(IF(E90="농지",3,4)-2)*0.2)/100,10))</f>
        <v/>
      </c>
      <c r="AF90" s="7">
        <f>IF(N90="","",ROUND(N90*N(O90)/100*N(P90)/12,0))</f>
        <v/>
      </c>
      <c r="AG90" s="7">
        <f>IF(I90="","",I90+AC90+AD90+AE90+N(K90)+N(L90)+N(M90)+N(Q90)+N(AF90))</f>
        <v/>
      </c>
      <c r="AH90" s="7">
        <f>IF(OR(R90="",S90=""),"",ROUND(R90*S90/100,0))</f>
        <v/>
      </c>
      <c r="AI90" s="7">
        <f>IF(OR(AG90="",R90=""),"",R90-N(AH90)-AG90)</f>
        <v/>
      </c>
      <c r="AJ90" s="6">
        <f>IF(AI90="","",ROUND(AI90/AG90*100,1))</f>
        <v/>
      </c>
    </row>
    <row r="91">
      <c r="A91" s="3" t="n"/>
      <c r="B91" s="3" t="n"/>
      <c r="C91" s="4" t="n"/>
      <c r="D91" s="3" t="n"/>
      <c r="E91" s="3" t="n"/>
      <c r="F91" s="3" t="n"/>
      <c r="G91" s="5" t="n"/>
      <c r="H91" s="5" t="n"/>
      <c r="I91" s="5" t="n"/>
      <c r="J91" s="5" t="n"/>
      <c r="K91" s="5" t="n"/>
      <c r="L91" s="5" t="n"/>
      <c r="M91" s="5" t="n"/>
      <c r="N91" s="5" t="n"/>
      <c r="O91" s="3" t="n"/>
      <c r="P91" s="3" t="n"/>
      <c r="Q91" s="5" t="n"/>
      <c r="R91" s="5" t="n"/>
      <c r="S91" s="3" t="n"/>
      <c r="T91" s="3" t="n"/>
      <c r="U91" s="3" t="n"/>
      <c r="V91" s="3" t="n"/>
      <c r="W91" s="3" t="n"/>
      <c r="X91" s="3" t="n"/>
      <c r="Y91" s="3" t="n"/>
      <c r="Z91" s="6">
        <f>IF(F91="","",ROUND(F91/3.305785,1))</f>
        <v/>
      </c>
      <c r="AA91" s="6">
        <f>IF(OR(G91="",I91=""),"",ROUND(I91/G91*100,1))</f>
        <v/>
      </c>
      <c r="AB91" s="7">
        <f>IF(OR(Z91="",I91=""),"",ROUND(I91/Z91,0))</f>
        <v/>
      </c>
      <c r="AC91" s="7">
        <f>IF(I91="","",FLOOR(I91*IF(T91&lt;&gt;"",T91,IF(E91="농지",3,4))/100,10))</f>
        <v/>
      </c>
      <c r="AD91" s="7">
        <f>IF(I91="","",FLOOR(I91*IF(T91&lt;&gt;"",N(U91),0.2)/100,10))</f>
        <v/>
      </c>
      <c r="AE91" s="7">
        <f>IF(I91="","",FLOOR(I91*IF(T91&lt;&gt;"",N(V91),(IF(E91="농지",3,4)-2)*0.2)/100,10))</f>
        <v/>
      </c>
      <c r="AF91" s="7">
        <f>IF(N91="","",ROUND(N91*N(O91)/100*N(P91)/12,0))</f>
        <v/>
      </c>
      <c r="AG91" s="7">
        <f>IF(I91="","",I91+AC91+AD91+AE91+N(K91)+N(L91)+N(M91)+N(Q91)+N(AF91))</f>
        <v/>
      </c>
      <c r="AH91" s="7">
        <f>IF(OR(R91="",S91=""),"",ROUND(R91*S91/100,0))</f>
        <v/>
      </c>
      <c r="AI91" s="7">
        <f>IF(OR(AG91="",R91=""),"",R91-N(AH91)-AG91)</f>
        <v/>
      </c>
      <c r="AJ91" s="6">
        <f>IF(AI91="","",ROUND(AI91/AG91*100,1))</f>
        <v/>
      </c>
    </row>
    <row r="92">
      <c r="A92" s="3" t="n"/>
      <c r="B92" s="3" t="n"/>
      <c r="C92" s="4" t="n"/>
      <c r="D92" s="3" t="n"/>
      <c r="E92" s="3" t="n"/>
      <c r="F92" s="3" t="n"/>
      <c r="G92" s="5" t="n"/>
      <c r="H92" s="5" t="n"/>
      <c r="I92" s="5" t="n"/>
      <c r="J92" s="5" t="n"/>
      <c r="K92" s="5" t="n"/>
      <c r="L92" s="5" t="n"/>
      <c r="M92" s="5" t="n"/>
      <c r="N92" s="5" t="n"/>
      <c r="O92" s="3" t="n"/>
      <c r="P92" s="3" t="n"/>
      <c r="Q92" s="5" t="n"/>
      <c r="R92" s="5" t="n"/>
      <c r="S92" s="3" t="n"/>
      <c r="T92" s="3" t="n"/>
      <c r="U92" s="3" t="n"/>
      <c r="V92" s="3" t="n"/>
      <c r="W92" s="3" t="n"/>
      <c r="X92" s="3" t="n"/>
      <c r="Y92" s="3" t="n"/>
      <c r="Z92" s="6">
        <f>IF(F92="","",ROUND(F92/3.305785,1))</f>
        <v/>
      </c>
      <c r="AA92" s="6">
        <f>IF(OR(G92="",I92=""),"",ROUND(I92/G92*100,1))</f>
        <v/>
      </c>
      <c r="AB92" s="7">
        <f>IF(OR(Z92="",I92=""),"",ROUND(I92/Z92,0))</f>
        <v/>
      </c>
      <c r="AC92" s="7">
        <f>IF(I92="","",FLOOR(I92*IF(T92&lt;&gt;"",T92,IF(E92="농지",3,4))/100,10))</f>
        <v/>
      </c>
      <c r="AD92" s="7">
        <f>IF(I92="","",FLOOR(I92*IF(T92&lt;&gt;"",N(U92),0.2)/100,10))</f>
        <v/>
      </c>
      <c r="AE92" s="7">
        <f>IF(I92="","",FLOOR(I92*IF(T92&lt;&gt;"",N(V92),(IF(E92="농지",3,4)-2)*0.2)/100,10))</f>
        <v/>
      </c>
      <c r="AF92" s="7">
        <f>IF(N92="","",ROUND(N92*N(O92)/100*N(P92)/12,0))</f>
        <v/>
      </c>
      <c r="AG92" s="7">
        <f>IF(I92="","",I92+AC92+AD92+AE92+N(K92)+N(L92)+N(M92)+N(Q92)+N(AF92))</f>
        <v/>
      </c>
      <c r="AH92" s="7">
        <f>IF(OR(R92="",S92=""),"",ROUND(R92*S92/100,0))</f>
        <v/>
      </c>
      <c r="AI92" s="7">
        <f>IF(OR(AG92="",R92=""),"",R92-N(AH92)-AG92)</f>
        <v/>
      </c>
      <c r="AJ92" s="6">
        <f>IF(AI92="","",ROUND(AI92/AG92*100,1))</f>
        <v/>
      </c>
    </row>
    <row r="93">
      <c r="A93" s="3" t="n"/>
      <c r="B93" s="3" t="n"/>
      <c r="C93" s="4" t="n"/>
      <c r="D93" s="3" t="n"/>
      <c r="E93" s="3" t="n"/>
      <c r="F93" s="3" t="n"/>
      <c r="G93" s="5" t="n"/>
      <c r="H93" s="5" t="n"/>
      <c r="I93" s="5" t="n"/>
      <c r="J93" s="5" t="n"/>
      <c r="K93" s="5" t="n"/>
      <c r="L93" s="5" t="n"/>
      <c r="M93" s="5" t="n"/>
      <c r="N93" s="5" t="n"/>
      <c r="O93" s="3" t="n"/>
      <c r="P93" s="3" t="n"/>
      <c r="Q93" s="5" t="n"/>
      <c r="R93" s="5" t="n"/>
      <c r="S93" s="3" t="n"/>
      <c r="T93" s="3" t="n"/>
      <c r="U93" s="3" t="n"/>
      <c r="V93" s="3" t="n"/>
      <c r="W93" s="3" t="n"/>
      <c r="X93" s="3" t="n"/>
      <c r="Y93" s="3" t="n"/>
      <c r="Z93" s="6">
        <f>IF(F93="","",ROUND(F93/3.305785,1))</f>
        <v/>
      </c>
      <c r="AA93" s="6">
        <f>IF(OR(G93="",I93=""),"",ROUND(I93/G93*100,1))</f>
        <v/>
      </c>
      <c r="AB93" s="7">
        <f>IF(OR(Z93="",I93=""),"",ROUND(I93/Z93,0))</f>
        <v/>
      </c>
      <c r="AC93" s="7">
        <f>IF(I93="","",FLOOR(I93*IF(T93&lt;&gt;"",T93,IF(E93="농지",3,4))/100,10))</f>
        <v/>
      </c>
      <c r="AD93" s="7">
        <f>IF(I93="","",FLOOR(I93*IF(T93&lt;&gt;"",N(U93),0.2)/100,10))</f>
        <v/>
      </c>
      <c r="AE93" s="7">
        <f>IF(I93="","",FLOOR(I93*IF(T93&lt;&gt;"",N(V93),(IF(E93="농지",3,4)-2)*0.2)/100,10))</f>
        <v/>
      </c>
      <c r="AF93" s="7">
        <f>IF(N93="","",ROUND(N93*N(O93)/100*N(P93)/12,0))</f>
        <v/>
      </c>
      <c r="AG93" s="7">
        <f>IF(I93="","",I93+AC93+AD93+AE93+N(K93)+N(L93)+N(M93)+N(Q93)+N(AF93))</f>
        <v/>
      </c>
      <c r="AH93" s="7">
        <f>IF(OR(R93="",S93=""),"",ROUND(R93*S93/100,0))</f>
        <v/>
      </c>
      <c r="AI93" s="7">
        <f>IF(OR(AG93="",R93=""),"",R93-N(AH93)-AG93)</f>
        <v/>
      </c>
      <c r="AJ93" s="6">
        <f>IF(AI93="","",ROUND(AI93/AG93*100,1))</f>
        <v/>
      </c>
    </row>
    <row r="94">
      <c r="A94" s="3" t="n"/>
      <c r="B94" s="3" t="n"/>
      <c r="C94" s="4" t="n"/>
      <c r="D94" s="3" t="n"/>
      <c r="E94" s="3" t="n"/>
      <c r="F94" s="3" t="n"/>
      <c r="G94" s="5" t="n"/>
      <c r="H94" s="5" t="n"/>
      <c r="I94" s="5" t="n"/>
      <c r="J94" s="5" t="n"/>
      <c r="K94" s="5" t="n"/>
      <c r="L94" s="5" t="n"/>
      <c r="M94" s="5" t="n"/>
      <c r="N94" s="5" t="n"/>
      <c r="O94" s="3" t="n"/>
      <c r="P94" s="3" t="n"/>
      <c r="Q94" s="5" t="n"/>
      <c r="R94" s="5" t="n"/>
      <c r="S94" s="3" t="n"/>
      <c r="T94" s="3" t="n"/>
      <c r="U94" s="3" t="n"/>
      <c r="V94" s="3" t="n"/>
      <c r="W94" s="3" t="n"/>
      <c r="X94" s="3" t="n"/>
      <c r="Y94" s="3" t="n"/>
      <c r="Z94" s="6">
        <f>IF(F94="","",ROUND(F94/3.305785,1))</f>
        <v/>
      </c>
      <c r="AA94" s="6">
        <f>IF(OR(G94="",I94=""),"",ROUND(I94/G94*100,1))</f>
        <v/>
      </c>
      <c r="AB94" s="7">
        <f>IF(OR(Z94="",I94=""),"",ROUND(I94/Z94,0))</f>
        <v/>
      </c>
      <c r="AC94" s="7">
        <f>IF(I94="","",FLOOR(I94*IF(T94&lt;&gt;"",T94,IF(E94="농지",3,4))/100,10))</f>
        <v/>
      </c>
      <c r="AD94" s="7">
        <f>IF(I94="","",FLOOR(I94*IF(T94&lt;&gt;"",N(U94),0.2)/100,10))</f>
        <v/>
      </c>
      <c r="AE94" s="7">
        <f>IF(I94="","",FLOOR(I94*IF(T94&lt;&gt;"",N(V94),(IF(E94="농지",3,4)-2)*0.2)/100,10))</f>
        <v/>
      </c>
      <c r="AF94" s="7">
        <f>IF(N94="","",ROUND(N94*N(O94)/100*N(P94)/12,0))</f>
        <v/>
      </c>
      <c r="AG94" s="7">
        <f>IF(I94="","",I94+AC94+AD94+AE94+N(K94)+N(L94)+N(M94)+N(Q94)+N(AF94))</f>
        <v/>
      </c>
      <c r="AH94" s="7">
        <f>IF(OR(R94="",S94=""),"",ROUND(R94*S94/100,0))</f>
        <v/>
      </c>
      <c r="AI94" s="7">
        <f>IF(OR(AG94="",R94=""),"",R94-N(AH94)-AG94)</f>
        <v/>
      </c>
      <c r="AJ94" s="6">
        <f>IF(AI94="","",ROUND(AI94/AG94*100,1))</f>
        <v/>
      </c>
    </row>
    <row r="95">
      <c r="A95" s="3" t="n"/>
      <c r="B95" s="3" t="n"/>
      <c r="C95" s="4" t="n"/>
      <c r="D95" s="3" t="n"/>
      <c r="E95" s="3" t="n"/>
      <c r="F95" s="3" t="n"/>
      <c r="G95" s="5" t="n"/>
      <c r="H95" s="5" t="n"/>
      <c r="I95" s="5" t="n"/>
      <c r="J95" s="5" t="n"/>
      <c r="K95" s="5" t="n"/>
      <c r="L95" s="5" t="n"/>
      <c r="M95" s="5" t="n"/>
      <c r="N95" s="5" t="n"/>
      <c r="O95" s="3" t="n"/>
      <c r="P95" s="3" t="n"/>
      <c r="Q95" s="5" t="n"/>
      <c r="R95" s="5" t="n"/>
      <c r="S95" s="3" t="n"/>
      <c r="T95" s="3" t="n"/>
      <c r="U95" s="3" t="n"/>
      <c r="V95" s="3" t="n"/>
      <c r="W95" s="3" t="n"/>
      <c r="X95" s="3" t="n"/>
      <c r="Y95" s="3" t="n"/>
      <c r="Z95" s="6">
        <f>IF(F95="","",ROUND(F95/3.305785,1))</f>
        <v/>
      </c>
      <c r="AA95" s="6">
        <f>IF(OR(G95="",I95=""),"",ROUND(I95/G95*100,1))</f>
        <v/>
      </c>
      <c r="AB95" s="7">
        <f>IF(OR(Z95="",I95=""),"",ROUND(I95/Z95,0))</f>
        <v/>
      </c>
      <c r="AC95" s="7">
        <f>IF(I95="","",FLOOR(I95*IF(T95&lt;&gt;"",T95,IF(E95="농지",3,4))/100,10))</f>
        <v/>
      </c>
      <c r="AD95" s="7">
        <f>IF(I95="","",FLOOR(I95*IF(T95&lt;&gt;"",N(U95),0.2)/100,10))</f>
        <v/>
      </c>
      <c r="AE95" s="7">
        <f>IF(I95="","",FLOOR(I95*IF(T95&lt;&gt;"",N(V95),(IF(E95="농지",3,4)-2)*0.2)/100,10))</f>
        <v/>
      </c>
      <c r="AF95" s="7">
        <f>IF(N95="","",ROUND(N95*N(O95)/100*N(P95)/12,0))</f>
        <v/>
      </c>
      <c r="AG95" s="7">
        <f>IF(I95="","",I95+AC95+AD95+AE95+N(K95)+N(L95)+N(M95)+N(Q95)+N(AF95))</f>
        <v/>
      </c>
      <c r="AH95" s="7">
        <f>IF(OR(R95="",S95=""),"",ROUND(R95*S95/100,0))</f>
        <v/>
      </c>
      <c r="AI95" s="7">
        <f>IF(OR(AG95="",R95=""),"",R95-N(AH95)-AG95)</f>
        <v/>
      </c>
      <c r="AJ95" s="6">
        <f>IF(AI95="","",ROUND(AI95/AG95*100,1))</f>
        <v/>
      </c>
    </row>
    <row r="96">
      <c r="A96" s="3" t="n"/>
      <c r="B96" s="3" t="n"/>
      <c r="C96" s="4" t="n"/>
      <c r="D96" s="3" t="n"/>
      <c r="E96" s="3" t="n"/>
      <c r="F96" s="3" t="n"/>
      <c r="G96" s="5" t="n"/>
      <c r="H96" s="5" t="n"/>
      <c r="I96" s="5" t="n"/>
      <c r="J96" s="5" t="n"/>
      <c r="K96" s="5" t="n"/>
      <c r="L96" s="5" t="n"/>
      <c r="M96" s="5" t="n"/>
      <c r="N96" s="5" t="n"/>
      <c r="O96" s="3" t="n"/>
      <c r="P96" s="3" t="n"/>
      <c r="Q96" s="5" t="n"/>
      <c r="R96" s="5" t="n"/>
      <c r="S96" s="3" t="n"/>
      <c r="T96" s="3" t="n"/>
      <c r="U96" s="3" t="n"/>
      <c r="V96" s="3" t="n"/>
      <c r="W96" s="3" t="n"/>
      <c r="X96" s="3" t="n"/>
      <c r="Y96" s="3" t="n"/>
      <c r="Z96" s="6">
        <f>IF(F96="","",ROUND(F96/3.305785,1))</f>
        <v/>
      </c>
      <c r="AA96" s="6">
        <f>IF(OR(G96="",I96=""),"",ROUND(I96/G96*100,1))</f>
        <v/>
      </c>
      <c r="AB96" s="7">
        <f>IF(OR(Z96="",I96=""),"",ROUND(I96/Z96,0))</f>
        <v/>
      </c>
      <c r="AC96" s="7">
        <f>IF(I96="","",FLOOR(I96*IF(T96&lt;&gt;"",T96,IF(E96="농지",3,4))/100,10))</f>
        <v/>
      </c>
      <c r="AD96" s="7">
        <f>IF(I96="","",FLOOR(I96*IF(T96&lt;&gt;"",N(U96),0.2)/100,10))</f>
        <v/>
      </c>
      <c r="AE96" s="7">
        <f>IF(I96="","",FLOOR(I96*IF(T96&lt;&gt;"",N(V96),(IF(E96="농지",3,4)-2)*0.2)/100,10))</f>
        <v/>
      </c>
      <c r="AF96" s="7">
        <f>IF(N96="","",ROUND(N96*N(O96)/100*N(P96)/12,0))</f>
        <v/>
      </c>
      <c r="AG96" s="7">
        <f>IF(I96="","",I96+AC96+AD96+AE96+N(K96)+N(L96)+N(M96)+N(Q96)+N(AF96))</f>
        <v/>
      </c>
      <c r="AH96" s="7">
        <f>IF(OR(R96="",S96=""),"",ROUND(R96*S96/100,0))</f>
        <v/>
      </c>
      <c r="AI96" s="7">
        <f>IF(OR(AG96="",R96=""),"",R96-N(AH96)-AG96)</f>
        <v/>
      </c>
      <c r="AJ96" s="6">
        <f>IF(AI96="","",ROUND(AI96/AG96*100,1))</f>
        <v/>
      </c>
    </row>
    <row r="97">
      <c r="A97" s="3" t="n"/>
      <c r="B97" s="3" t="n"/>
      <c r="C97" s="4" t="n"/>
      <c r="D97" s="3" t="n"/>
      <c r="E97" s="3" t="n"/>
      <c r="F97" s="3" t="n"/>
      <c r="G97" s="5" t="n"/>
      <c r="H97" s="5" t="n"/>
      <c r="I97" s="5" t="n"/>
      <c r="J97" s="5" t="n"/>
      <c r="K97" s="5" t="n"/>
      <c r="L97" s="5" t="n"/>
      <c r="M97" s="5" t="n"/>
      <c r="N97" s="5" t="n"/>
      <c r="O97" s="3" t="n"/>
      <c r="P97" s="3" t="n"/>
      <c r="Q97" s="5" t="n"/>
      <c r="R97" s="5" t="n"/>
      <c r="S97" s="3" t="n"/>
      <c r="T97" s="3" t="n"/>
      <c r="U97" s="3" t="n"/>
      <c r="V97" s="3" t="n"/>
      <c r="W97" s="3" t="n"/>
      <c r="X97" s="3" t="n"/>
      <c r="Y97" s="3" t="n"/>
      <c r="Z97" s="6">
        <f>IF(F97="","",ROUND(F97/3.305785,1))</f>
        <v/>
      </c>
      <c r="AA97" s="6">
        <f>IF(OR(G97="",I97=""),"",ROUND(I97/G97*100,1))</f>
        <v/>
      </c>
      <c r="AB97" s="7">
        <f>IF(OR(Z97="",I97=""),"",ROUND(I97/Z97,0))</f>
        <v/>
      </c>
      <c r="AC97" s="7">
        <f>IF(I97="","",FLOOR(I97*IF(T97&lt;&gt;"",T97,IF(E97="농지",3,4))/100,10))</f>
        <v/>
      </c>
      <c r="AD97" s="7">
        <f>IF(I97="","",FLOOR(I97*IF(T97&lt;&gt;"",N(U97),0.2)/100,10))</f>
        <v/>
      </c>
      <c r="AE97" s="7">
        <f>IF(I97="","",FLOOR(I97*IF(T97&lt;&gt;"",N(V97),(IF(E97="농지",3,4)-2)*0.2)/100,10))</f>
        <v/>
      </c>
      <c r="AF97" s="7">
        <f>IF(N97="","",ROUND(N97*N(O97)/100*N(P97)/12,0))</f>
        <v/>
      </c>
      <c r="AG97" s="7">
        <f>IF(I97="","",I97+AC97+AD97+AE97+N(K97)+N(L97)+N(M97)+N(Q97)+N(AF97))</f>
        <v/>
      </c>
      <c r="AH97" s="7">
        <f>IF(OR(R97="",S97=""),"",ROUND(R97*S97/100,0))</f>
        <v/>
      </c>
      <c r="AI97" s="7">
        <f>IF(OR(AG97="",R97=""),"",R97-N(AH97)-AG97)</f>
        <v/>
      </c>
      <c r="AJ97" s="6">
        <f>IF(AI97="","",ROUND(AI97/AG97*100,1))</f>
        <v/>
      </c>
    </row>
    <row r="98">
      <c r="A98" s="3" t="n"/>
      <c r="B98" s="3" t="n"/>
      <c r="C98" s="4" t="n"/>
      <c r="D98" s="3" t="n"/>
      <c r="E98" s="3" t="n"/>
      <c r="F98" s="3" t="n"/>
      <c r="G98" s="5" t="n"/>
      <c r="H98" s="5" t="n"/>
      <c r="I98" s="5" t="n"/>
      <c r="J98" s="5" t="n"/>
      <c r="K98" s="5" t="n"/>
      <c r="L98" s="5" t="n"/>
      <c r="M98" s="5" t="n"/>
      <c r="N98" s="5" t="n"/>
      <c r="O98" s="3" t="n"/>
      <c r="P98" s="3" t="n"/>
      <c r="Q98" s="5" t="n"/>
      <c r="R98" s="5" t="n"/>
      <c r="S98" s="3" t="n"/>
      <c r="T98" s="3" t="n"/>
      <c r="U98" s="3" t="n"/>
      <c r="V98" s="3" t="n"/>
      <c r="W98" s="3" t="n"/>
      <c r="X98" s="3" t="n"/>
      <c r="Y98" s="3" t="n"/>
      <c r="Z98" s="6">
        <f>IF(F98="","",ROUND(F98/3.305785,1))</f>
        <v/>
      </c>
      <c r="AA98" s="6">
        <f>IF(OR(G98="",I98=""),"",ROUND(I98/G98*100,1))</f>
        <v/>
      </c>
      <c r="AB98" s="7">
        <f>IF(OR(Z98="",I98=""),"",ROUND(I98/Z98,0))</f>
        <v/>
      </c>
      <c r="AC98" s="7">
        <f>IF(I98="","",FLOOR(I98*IF(T98&lt;&gt;"",T98,IF(E98="농지",3,4))/100,10))</f>
        <v/>
      </c>
      <c r="AD98" s="7">
        <f>IF(I98="","",FLOOR(I98*IF(T98&lt;&gt;"",N(U98),0.2)/100,10))</f>
        <v/>
      </c>
      <c r="AE98" s="7">
        <f>IF(I98="","",FLOOR(I98*IF(T98&lt;&gt;"",N(V98),(IF(E98="농지",3,4)-2)*0.2)/100,10))</f>
        <v/>
      </c>
      <c r="AF98" s="7">
        <f>IF(N98="","",ROUND(N98*N(O98)/100*N(P98)/12,0))</f>
        <v/>
      </c>
      <c r="AG98" s="7">
        <f>IF(I98="","",I98+AC98+AD98+AE98+N(K98)+N(L98)+N(M98)+N(Q98)+N(AF98))</f>
        <v/>
      </c>
      <c r="AH98" s="7">
        <f>IF(OR(R98="",S98=""),"",ROUND(R98*S98/100,0))</f>
        <v/>
      </c>
      <c r="AI98" s="7">
        <f>IF(OR(AG98="",R98=""),"",R98-N(AH98)-AG98)</f>
        <v/>
      </c>
      <c r="AJ98" s="6">
        <f>IF(AI98="","",ROUND(AI98/AG98*100,1))</f>
        <v/>
      </c>
    </row>
    <row r="99">
      <c r="A99" s="3" t="n"/>
      <c r="B99" s="3" t="n"/>
      <c r="C99" s="4" t="n"/>
      <c r="D99" s="3" t="n"/>
      <c r="E99" s="3" t="n"/>
      <c r="F99" s="3" t="n"/>
      <c r="G99" s="5" t="n"/>
      <c r="H99" s="5" t="n"/>
      <c r="I99" s="5" t="n"/>
      <c r="J99" s="5" t="n"/>
      <c r="K99" s="5" t="n"/>
      <c r="L99" s="5" t="n"/>
      <c r="M99" s="5" t="n"/>
      <c r="N99" s="5" t="n"/>
      <c r="O99" s="3" t="n"/>
      <c r="P99" s="3" t="n"/>
      <c r="Q99" s="5" t="n"/>
      <c r="R99" s="5" t="n"/>
      <c r="S99" s="3" t="n"/>
      <c r="T99" s="3" t="n"/>
      <c r="U99" s="3" t="n"/>
      <c r="V99" s="3" t="n"/>
      <c r="W99" s="3" t="n"/>
      <c r="X99" s="3" t="n"/>
      <c r="Y99" s="3" t="n"/>
      <c r="Z99" s="6">
        <f>IF(F99="","",ROUND(F99/3.305785,1))</f>
        <v/>
      </c>
      <c r="AA99" s="6">
        <f>IF(OR(G99="",I99=""),"",ROUND(I99/G99*100,1))</f>
        <v/>
      </c>
      <c r="AB99" s="7">
        <f>IF(OR(Z99="",I99=""),"",ROUND(I99/Z99,0))</f>
        <v/>
      </c>
      <c r="AC99" s="7">
        <f>IF(I99="","",FLOOR(I99*IF(T99&lt;&gt;"",T99,IF(E99="농지",3,4))/100,10))</f>
        <v/>
      </c>
      <c r="AD99" s="7">
        <f>IF(I99="","",FLOOR(I99*IF(T99&lt;&gt;"",N(U99),0.2)/100,10))</f>
        <v/>
      </c>
      <c r="AE99" s="7">
        <f>IF(I99="","",FLOOR(I99*IF(T99&lt;&gt;"",N(V99),(IF(E99="농지",3,4)-2)*0.2)/100,10))</f>
        <v/>
      </c>
      <c r="AF99" s="7">
        <f>IF(N99="","",ROUND(N99*N(O99)/100*N(P99)/12,0))</f>
        <v/>
      </c>
      <c r="AG99" s="7">
        <f>IF(I99="","",I99+AC99+AD99+AE99+N(K99)+N(L99)+N(M99)+N(Q99)+N(AF99))</f>
        <v/>
      </c>
      <c r="AH99" s="7">
        <f>IF(OR(R99="",S99=""),"",ROUND(R99*S99/100,0))</f>
        <v/>
      </c>
      <c r="AI99" s="7">
        <f>IF(OR(AG99="",R99=""),"",R99-N(AH99)-AG99)</f>
        <v/>
      </c>
      <c r="AJ99" s="6">
        <f>IF(AI99="","",ROUND(AI99/AG99*100,1))</f>
        <v/>
      </c>
    </row>
    <row r="100">
      <c r="A100" s="3" t="n"/>
      <c r="B100" s="3" t="n"/>
      <c r="C100" s="4" t="n"/>
      <c r="D100" s="3" t="n"/>
      <c r="E100" s="3" t="n"/>
      <c r="F100" s="3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3" t="n"/>
      <c r="P100" s="3" t="n"/>
      <c r="Q100" s="5" t="n"/>
      <c r="R100" s="5" t="n"/>
      <c r="S100" s="3" t="n"/>
      <c r="T100" s="3" t="n"/>
      <c r="U100" s="3" t="n"/>
      <c r="V100" s="3" t="n"/>
      <c r="W100" s="3" t="n"/>
      <c r="X100" s="3" t="n"/>
      <c r="Y100" s="3" t="n"/>
      <c r="Z100" s="6">
        <f>IF(F100="","",ROUND(F100/3.305785,1))</f>
        <v/>
      </c>
      <c r="AA100" s="6">
        <f>IF(OR(G100="",I100=""),"",ROUND(I100/G100*100,1))</f>
        <v/>
      </c>
      <c r="AB100" s="7">
        <f>IF(OR(Z100="",I100=""),"",ROUND(I100/Z100,0))</f>
        <v/>
      </c>
      <c r="AC100" s="7">
        <f>IF(I100="","",FLOOR(I100*IF(T100&lt;&gt;"",T100,IF(E100="농지",3,4))/100,10))</f>
        <v/>
      </c>
      <c r="AD100" s="7">
        <f>IF(I100="","",FLOOR(I100*IF(T100&lt;&gt;"",N(U100),0.2)/100,10))</f>
        <v/>
      </c>
      <c r="AE100" s="7">
        <f>IF(I100="","",FLOOR(I100*IF(T100&lt;&gt;"",N(V100),(IF(E100="농지",3,4)-2)*0.2)/100,10))</f>
        <v/>
      </c>
      <c r="AF100" s="7">
        <f>IF(N100="","",ROUND(N100*N(O100)/100*N(P100)/12,0))</f>
        <v/>
      </c>
      <c r="AG100" s="7">
        <f>IF(I100="","",I100+AC100+AD100+AE100+N(K100)+N(L100)+N(M100)+N(Q100)+N(AF100))</f>
        <v/>
      </c>
      <c r="AH100" s="7">
        <f>IF(OR(R100="",S100=""),"",ROUND(R100*S100/100,0))</f>
        <v/>
      </c>
      <c r="AI100" s="7">
        <f>IF(OR(AG100="",R100=""),"",R100-N(AH100)-AG100)</f>
        <v/>
      </c>
      <c r="AJ100" s="6">
        <f>IF(AI100="","",ROUND(AI100/AG100*100,1))</f>
        <v/>
      </c>
    </row>
    <row r="101">
      <c r="A101" s="3" t="n"/>
      <c r="B101" s="3" t="n"/>
      <c r="C101" s="4" t="n"/>
      <c r="D101" s="3" t="n"/>
      <c r="E101" s="3" t="n"/>
      <c r="F101" s="3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3" t="n"/>
      <c r="P101" s="3" t="n"/>
      <c r="Q101" s="5" t="n"/>
      <c r="R101" s="5" t="n"/>
      <c r="S101" s="3" t="n"/>
      <c r="T101" s="3" t="n"/>
      <c r="U101" s="3" t="n"/>
      <c r="V101" s="3" t="n"/>
      <c r="W101" s="3" t="n"/>
      <c r="X101" s="3" t="n"/>
      <c r="Y101" s="3" t="n"/>
      <c r="Z101" s="6">
        <f>IF(F101="","",ROUND(F101/3.305785,1))</f>
        <v/>
      </c>
      <c r="AA101" s="6">
        <f>IF(OR(G101="",I101=""),"",ROUND(I101/G101*100,1))</f>
        <v/>
      </c>
      <c r="AB101" s="7">
        <f>IF(OR(Z101="",I101=""),"",ROUND(I101/Z101,0))</f>
        <v/>
      </c>
      <c r="AC101" s="7">
        <f>IF(I101="","",FLOOR(I101*IF(T101&lt;&gt;"",T101,IF(E101="농지",3,4))/100,10))</f>
        <v/>
      </c>
      <c r="AD101" s="7">
        <f>IF(I101="","",FLOOR(I101*IF(T101&lt;&gt;"",N(U101),0.2)/100,10))</f>
        <v/>
      </c>
      <c r="AE101" s="7">
        <f>IF(I101="","",FLOOR(I101*IF(T101&lt;&gt;"",N(V101),(IF(E101="농지",3,4)-2)*0.2)/100,10))</f>
        <v/>
      </c>
      <c r="AF101" s="7">
        <f>IF(N101="","",ROUND(N101*N(O101)/100*N(P101)/12,0))</f>
        <v/>
      </c>
      <c r="AG101" s="7">
        <f>IF(I101="","",I101+AC101+AD101+AE101+N(K101)+N(L101)+N(M101)+N(Q101)+N(AF101))</f>
        <v/>
      </c>
      <c r="AH101" s="7">
        <f>IF(OR(R101="",S101=""),"",ROUND(R101*S101/100,0))</f>
        <v/>
      </c>
      <c r="AI101" s="7">
        <f>IF(OR(AG101="",R101=""),"",R101-N(AH101)-AG101)</f>
        <v/>
      </c>
      <c r="AJ101" s="6">
        <f>IF(AI101="","",ROUND(AI101/AG101*100,1))</f>
        <v/>
      </c>
    </row>
    <row r="102">
      <c r="A102" s="3" t="n"/>
      <c r="B102" s="3" t="n"/>
      <c r="C102" s="4" t="n"/>
      <c r="D102" s="3" t="n"/>
      <c r="E102" s="3" t="n"/>
      <c r="F102" s="3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3" t="n"/>
      <c r="P102" s="3" t="n"/>
      <c r="Q102" s="5" t="n"/>
      <c r="R102" s="5" t="n"/>
      <c r="S102" s="3" t="n"/>
      <c r="T102" s="3" t="n"/>
      <c r="U102" s="3" t="n"/>
      <c r="V102" s="3" t="n"/>
      <c r="W102" s="3" t="n"/>
      <c r="X102" s="3" t="n"/>
      <c r="Y102" s="3" t="n"/>
      <c r="Z102" s="6">
        <f>IF(F102="","",ROUND(F102/3.305785,1))</f>
        <v/>
      </c>
      <c r="AA102" s="6">
        <f>IF(OR(G102="",I102=""),"",ROUND(I102/G102*100,1))</f>
        <v/>
      </c>
      <c r="AB102" s="7">
        <f>IF(OR(Z102="",I102=""),"",ROUND(I102/Z102,0))</f>
        <v/>
      </c>
      <c r="AC102" s="7">
        <f>IF(I102="","",FLOOR(I102*IF(T102&lt;&gt;"",T102,IF(E102="농지",3,4))/100,10))</f>
        <v/>
      </c>
      <c r="AD102" s="7">
        <f>IF(I102="","",FLOOR(I102*IF(T102&lt;&gt;"",N(U102),0.2)/100,10))</f>
        <v/>
      </c>
      <c r="AE102" s="7">
        <f>IF(I102="","",FLOOR(I102*IF(T102&lt;&gt;"",N(V102),(IF(E102="농지",3,4)-2)*0.2)/100,10))</f>
        <v/>
      </c>
      <c r="AF102" s="7">
        <f>IF(N102="","",ROUND(N102*N(O102)/100*N(P102)/12,0))</f>
        <v/>
      </c>
      <c r="AG102" s="7">
        <f>IF(I102="","",I102+AC102+AD102+AE102+N(K102)+N(L102)+N(M102)+N(Q102)+N(AF102))</f>
        <v/>
      </c>
      <c r="AH102" s="7">
        <f>IF(OR(R102="",S102=""),"",ROUND(R102*S102/100,0))</f>
        <v/>
      </c>
      <c r="AI102" s="7">
        <f>IF(OR(AG102="",R102=""),"",R102-N(AH102)-AG102)</f>
        <v/>
      </c>
      <c r="AJ102" s="6">
        <f>IF(AI102="","",ROUND(AI102/AG102*100,1))</f>
        <v/>
      </c>
    </row>
    <row r="103">
      <c r="A103" s="3" t="n"/>
      <c r="B103" s="3" t="n"/>
      <c r="C103" s="4" t="n"/>
      <c r="D103" s="3" t="n"/>
      <c r="E103" s="3" t="n"/>
      <c r="F103" s="3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3" t="n"/>
      <c r="P103" s="3" t="n"/>
      <c r="Q103" s="5" t="n"/>
      <c r="R103" s="5" t="n"/>
      <c r="S103" s="3" t="n"/>
      <c r="T103" s="3" t="n"/>
      <c r="U103" s="3" t="n"/>
      <c r="V103" s="3" t="n"/>
      <c r="W103" s="3" t="n"/>
      <c r="X103" s="3" t="n"/>
      <c r="Y103" s="3" t="n"/>
      <c r="Z103" s="6">
        <f>IF(F103="","",ROUND(F103/3.305785,1))</f>
        <v/>
      </c>
      <c r="AA103" s="6">
        <f>IF(OR(G103="",I103=""),"",ROUND(I103/G103*100,1))</f>
        <v/>
      </c>
      <c r="AB103" s="7">
        <f>IF(OR(Z103="",I103=""),"",ROUND(I103/Z103,0))</f>
        <v/>
      </c>
      <c r="AC103" s="7">
        <f>IF(I103="","",FLOOR(I103*IF(T103&lt;&gt;"",T103,IF(E103="농지",3,4))/100,10))</f>
        <v/>
      </c>
      <c r="AD103" s="7">
        <f>IF(I103="","",FLOOR(I103*IF(T103&lt;&gt;"",N(U103),0.2)/100,10))</f>
        <v/>
      </c>
      <c r="AE103" s="7">
        <f>IF(I103="","",FLOOR(I103*IF(T103&lt;&gt;"",N(V103),(IF(E103="농지",3,4)-2)*0.2)/100,10))</f>
        <v/>
      </c>
      <c r="AF103" s="7">
        <f>IF(N103="","",ROUND(N103*N(O103)/100*N(P103)/12,0))</f>
        <v/>
      </c>
      <c r="AG103" s="7">
        <f>IF(I103="","",I103+AC103+AD103+AE103+N(K103)+N(L103)+N(M103)+N(Q103)+N(AF103))</f>
        <v/>
      </c>
      <c r="AH103" s="7">
        <f>IF(OR(R103="",S103=""),"",ROUND(R103*S103/100,0))</f>
        <v/>
      </c>
      <c r="AI103" s="7">
        <f>IF(OR(AG103="",R103=""),"",R103-N(AH103)-AG103)</f>
        <v/>
      </c>
      <c r="AJ103" s="6">
        <f>IF(AI103="","",ROUND(AI103/AG103*100,1))</f>
        <v/>
      </c>
    </row>
    <row r="104">
      <c r="A104" s="3" t="n"/>
      <c r="B104" s="3" t="n"/>
      <c r="C104" s="4" t="n"/>
      <c r="D104" s="3" t="n"/>
      <c r="E104" s="3" t="n"/>
      <c r="F104" s="3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3" t="n"/>
      <c r="P104" s="3" t="n"/>
      <c r="Q104" s="5" t="n"/>
      <c r="R104" s="5" t="n"/>
      <c r="S104" s="3" t="n"/>
      <c r="T104" s="3" t="n"/>
      <c r="U104" s="3" t="n"/>
      <c r="V104" s="3" t="n"/>
      <c r="W104" s="3" t="n"/>
      <c r="X104" s="3" t="n"/>
      <c r="Y104" s="3" t="n"/>
      <c r="Z104" s="6">
        <f>IF(F104="","",ROUND(F104/3.305785,1))</f>
        <v/>
      </c>
      <c r="AA104" s="6">
        <f>IF(OR(G104="",I104=""),"",ROUND(I104/G104*100,1))</f>
        <v/>
      </c>
      <c r="AB104" s="7">
        <f>IF(OR(Z104="",I104=""),"",ROUND(I104/Z104,0))</f>
        <v/>
      </c>
      <c r="AC104" s="7">
        <f>IF(I104="","",FLOOR(I104*IF(T104&lt;&gt;"",T104,IF(E104="농지",3,4))/100,10))</f>
        <v/>
      </c>
      <c r="AD104" s="7">
        <f>IF(I104="","",FLOOR(I104*IF(T104&lt;&gt;"",N(U104),0.2)/100,10))</f>
        <v/>
      </c>
      <c r="AE104" s="7">
        <f>IF(I104="","",FLOOR(I104*IF(T104&lt;&gt;"",N(V104),(IF(E104="농지",3,4)-2)*0.2)/100,10))</f>
        <v/>
      </c>
      <c r="AF104" s="7">
        <f>IF(N104="","",ROUND(N104*N(O104)/100*N(P104)/12,0))</f>
        <v/>
      </c>
      <c r="AG104" s="7">
        <f>IF(I104="","",I104+AC104+AD104+AE104+N(K104)+N(L104)+N(M104)+N(Q104)+N(AF104))</f>
        <v/>
      </c>
      <c r="AH104" s="7">
        <f>IF(OR(R104="",S104=""),"",ROUND(R104*S104/100,0))</f>
        <v/>
      </c>
      <c r="AI104" s="7">
        <f>IF(OR(AG104="",R104=""),"",R104-N(AH104)-AG104)</f>
        <v/>
      </c>
      <c r="AJ104" s="6">
        <f>IF(AI104="","",ROUND(AI104/AG104*100,1))</f>
        <v/>
      </c>
    </row>
    <row r="105">
      <c r="A105" s="3" t="n"/>
      <c r="B105" s="3" t="n"/>
      <c r="C105" s="4" t="n"/>
      <c r="D105" s="3" t="n"/>
      <c r="E105" s="3" t="n"/>
      <c r="F105" s="3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3" t="n"/>
      <c r="P105" s="3" t="n"/>
      <c r="Q105" s="5" t="n"/>
      <c r="R105" s="5" t="n"/>
      <c r="S105" s="3" t="n"/>
      <c r="T105" s="3" t="n"/>
      <c r="U105" s="3" t="n"/>
      <c r="V105" s="3" t="n"/>
      <c r="W105" s="3" t="n"/>
      <c r="X105" s="3" t="n"/>
      <c r="Y105" s="3" t="n"/>
      <c r="Z105" s="6">
        <f>IF(F105="","",ROUND(F105/3.305785,1))</f>
        <v/>
      </c>
      <c r="AA105" s="6">
        <f>IF(OR(G105="",I105=""),"",ROUND(I105/G105*100,1))</f>
        <v/>
      </c>
      <c r="AB105" s="7">
        <f>IF(OR(Z105="",I105=""),"",ROUND(I105/Z105,0))</f>
        <v/>
      </c>
      <c r="AC105" s="7">
        <f>IF(I105="","",FLOOR(I105*IF(T105&lt;&gt;"",T105,IF(E105="농지",3,4))/100,10))</f>
        <v/>
      </c>
      <c r="AD105" s="7">
        <f>IF(I105="","",FLOOR(I105*IF(T105&lt;&gt;"",N(U105),0.2)/100,10))</f>
        <v/>
      </c>
      <c r="AE105" s="7">
        <f>IF(I105="","",FLOOR(I105*IF(T105&lt;&gt;"",N(V105),(IF(E105="농지",3,4)-2)*0.2)/100,10))</f>
        <v/>
      </c>
      <c r="AF105" s="7">
        <f>IF(N105="","",ROUND(N105*N(O105)/100*N(P105)/12,0))</f>
        <v/>
      </c>
      <c r="AG105" s="7">
        <f>IF(I105="","",I105+AC105+AD105+AE105+N(K105)+N(L105)+N(M105)+N(Q105)+N(AF105))</f>
        <v/>
      </c>
      <c r="AH105" s="7">
        <f>IF(OR(R105="",S105=""),"",ROUND(R105*S105/100,0))</f>
        <v/>
      </c>
      <c r="AI105" s="7">
        <f>IF(OR(AG105="",R105=""),"",R105-N(AH105)-AG105)</f>
        <v/>
      </c>
      <c r="AJ105" s="6">
        <f>IF(AI105="","",ROUND(AI105/AG105*100,1))</f>
        <v/>
      </c>
    </row>
    <row r="106">
      <c r="A106" s="3" t="n"/>
      <c r="B106" s="3" t="n"/>
      <c r="C106" s="4" t="n"/>
      <c r="D106" s="3" t="n"/>
      <c r="E106" s="3" t="n"/>
      <c r="F106" s="3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3" t="n"/>
      <c r="P106" s="3" t="n"/>
      <c r="Q106" s="5" t="n"/>
      <c r="R106" s="5" t="n"/>
      <c r="S106" s="3" t="n"/>
      <c r="T106" s="3" t="n"/>
      <c r="U106" s="3" t="n"/>
      <c r="V106" s="3" t="n"/>
      <c r="W106" s="3" t="n"/>
      <c r="X106" s="3" t="n"/>
      <c r="Y106" s="3" t="n"/>
      <c r="Z106" s="6">
        <f>IF(F106="","",ROUND(F106/3.305785,1))</f>
        <v/>
      </c>
      <c r="AA106" s="6">
        <f>IF(OR(G106="",I106=""),"",ROUND(I106/G106*100,1))</f>
        <v/>
      </c>
      <c r="AB106" s="7">
        <f>IF(OR(Z106="",I106=""),"",ROUND(I106/Z106,0))</f>
        <v/>
      </c>
      <c r="AC106" s="7">
        <f>IF(I106="","",FLOOR(I106*IF(T106&lt;&gt;"",T106,IF(E106="농지",3,4))/100,10))</f>
        <v/>
      </c>
      <c r="AD106" s="7">
        <f>IF(I106="","",FLOOR(I106*IF(T106&lt;&gt;"",N(U106),0.2)/100,10))</f>
        <v/>
      </c>
      <c r="AE106" s="7">
        <f>IF(I106="","",FLOOR(I106*IF(T106&lt;&gt;"",N(V106),(IF(E106="농지",3,4)-2)*0.2)/100,10))</f>
        <v/>
      </c>
      <c r="AF106" s="7">
        <f>IF(N106="","",ROUND(N106*N(O106)/100*N(P106)/12,0))</f>
        <v/>
      </c>
      <c r="AG106" s="7">
        <f>IF(I106="","",I106+AC106+AD106+AE106+N(K106)+N(L106)+N(M106)+N(Q106)+N(AF106))</f>
        <v/>
      </c>
      <c r="AH106" s="7">
        <f>IF(OR(R106="",S106=""),"",ROUND(R106*S106/100,0))</f>
        <v/>
      </c>
      <c r="AI106" s="7">
        <f>IF(OR(AG106="",R106=""),"",R106-N(AH106)-AG106)</f>
        <v/>
      </c>
      <c r="AJ106" s="6">
        <f>IF(AI106="","",ROUND(AI106/AG106*100,1))</f>
        <v/>
      </c>
    </row>
    <row r="107">
      <c r="A107" s="3" t="n"/>
      <c r="B107" s="3" t="n"/>
      <c r="C107" s="4" t="n"/>
      <c r="D107" s="3" t="n"/>
      <c r="E107" s="3" t="n"/>
      <c r="F107" s="3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3" t="n"/>
      <c r="P107" s="3" t="n"/>
      <c r="Q107" s="5" t="n"/>
      <c r="R107" s="5" t="n"/>
      <c r="S107" s="3" t="n"/>
      <c r="T107" s="3" t="n"/>
      <c r="U107" s="3" t="n"/>
      <c r="V107" s="3" t="n"/>
      <c r="W107" s="3" t="n"/>
      <c r="X107" s="3" t="n"/>
      <c r="Y107" s="3" t="n"/>
      <c r="Z107" s="6">
        <f>IF(F107="","",ROUND(F107/3.305785,1))</f>
        <v/>
      </c>
      <c r="AA107" s="6">
        <f>IF(OR(G107="",I107=""),"",ROUND(I107/G107*100,1))</f>
        <v/>
      </c>
      <c r="AB107" s="7">
        <f>IF(OR(Z107="",I107=""),"",ROUND(I107/Z107,0))</f>
        <v/>
      </c>
      <c r="AC107" s="7">
        <f>IF(I107="","",FLOOR(I107*IF(T107&lt;&gt;"",T107,IF(E107="농지",3,4))/100,10))</f>
        <v/>
      </c>
      <c r="AD107" s="7">
        <f>IF(I107="","",FLOOR(I107*IF(T107&lt;&gt;"",N(U107),0.2)/100,10))</f>
        <v/>
      </c>
      <c r="AE107" s="7">
        <f>IF(I107="","",FLOOR(I107*IF(T107&lt;&gt;"",N(V107),(IF(E107="농지",3,4)-2)*0.2)/100,10))</f>
        <v/>
      </c>
      <c r="AF107" s="7">
        <f>IF(N107="","",ROUND(N107*N(O107)/100*N(P107)/12,0))</f>
        <v/>
      </c>
      <c r="AG107" s="7">
        <f>IF(I107="","",I107+AC107+AD107+AE107+N(K107)+N(L107)+N(M107)+N(Q107)+N(AF107))</f>
        <v/>
      </c>
      <c r="AH107" s="7">
        <f>IF(OR(R107="",S107=""),"",ROUND(R107*S107/100,0))</f>
        <v/>
      </c>
      <c r="AI107" s="7">
        <f>IF(OR(AG107="",R107=""),"",R107-N(AH107)-AG107)</f>
        <v/>
      </c>
      <c r="AJ107" s="6">
        <f>IF(AI107="","",ROUND(AI107/AG107*100,1))</f>
        <v/>
      </c>
    </row>
    <row r="108">
      <c r="A108" s="3" t="n"/>
      <c r="B108" s="3" t="n"/>
      <c r="C108" s="4" t="n"/>
      <c r="D108" s="3" t="n"/>
      <c r="E108" s="3" t="n"/>
      <c r="F108" s="3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3" t="n"/>
      <c r="P108" s="3" t="n"/>
      <c r="Q108" s="5" t="n"/>
      <c r="R108" s="5" t="n"/>
      <c r="S108" s="3" t="n"/>
      <c r="T108" s="3" t="n"/>
      <c r="U108" s="3" t="n"/>
      <c r="V108" s="3" t="n"/>
      <c r="W108" s="3" t="n"/>
      <c r="X108" s="3" t="n"/>
      <c r="Y108" s="3" t="n"/>
      <c r="Z108" s="6">
        <f>IF(F108="","",ROUND(F108/3.305785,1))</f>
        <v/>
      </c>
      <c r="AA108" s="6">
        <f>IF(OR(G108="",I108=""),"",ROUND(I108/G108*100,1))</f>
        <v/>
      </c>
      <c r="AB108" s="7">
        <f>IF(OR(Z108="",I108=""),"",ROUND(I108/Z108,0))</f>
        <v/>
      </c>
      <c r="AC108" s="7">
        <f>IF(I108="","",FLOOR(I108*IF(T108&lt;&gt;"",T108,IF(E108="농지",3,4))/100,10))</f>
        <v/>
      </c>
      <c r="AD108" s="7">
        <f>IF(I108="","",FLOOR(I108*IF(T108&lt;&gt;"",N(U108),0.2)/100,10))</f>
        <v/>
      </c>
      <c r="AE108" s="7">
        <f>IF(I108="","",FLOOR(I108*IF(T108&lt;&gt;"",N(V108),(IF(E108="농지",3,4)-2)*0.2)/100,10))</f>
        <v/>
      </c>
      <c r="AF108" s="7">
        <f>IF(N108="","",ROUND(N108*N(O108)/100*N(P108)/12,0))</f>
        <v/>
      </c>
      <c r="AG108" s="7">
        <f>IF(I108="","",I108+AC108+AD108+AE108+N(K108)+N(L108)+N(M108)+N(Q108)+N(AF108))</f>
        <v/>
      </c>
      <c r="AH108" s="7">
        <f>IF(OR(R108="",S108=""),"",ROUND(R108*S108/100,0))</f>
        <v/>
      </c>
      <c r="AI108" s="7">
        <f>IF(OR(AG108="",R108=""),"",R108-N(AH108)-AG108)</f>
        <v/>
      </c>
      <c r="AJ108" s="6">
        <f>IF(AI108="","",ROUND(AI108/AG108*100,1))</f>
        <v/>
      </c>
    </row>
    <row r="109">
      <c r="A109" s="3" t="n"/>
      <c r="B109" s="3" t="n"/>
      <c r="C109" s="4" t="n"/>
      <c r="D109" s="3" t="n"/>
      <c r="E109" s="3" t="n"/>
      <c r="F109" s="3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3" t="n"/>
      <c r="P109" s="3" t="n"/>
      <c r="Q109" s="5" t="n"/>
      <c r="R109" s="5" t="n"/>
      <c r="S109" s="3" t="n"/>
      <c r="T109" s="3" t="n"/>
      <c r="U109" s="3" t="n"/>
      <c r="V109" s="3" t="n"/>
      <c r="W109" s="3" t="n"/>
      <c r="X109" s="3" t="n"/>
      <c r="Y109" s="3" t="n"/>
      <c r="Z109" s="6">
        <f>IF(F109="","",ROUND(F109/3.305785,1))</f>
        <v/>
      </c>
      <c r="AA109" s="6">
        <f>IF(OR(G109="",I109=""),"",ROUND(I109/G109*100,1))</f>
        <v/>
      </c>
      <c r="AB109" s="7">
        <f>IF(OR(Z109="",I109=""),"",ROUND(I109/Z109,0))</f>
        <v/>
      </c>
      <c r="AC109" s="7">
        <f>IF(I109="","",FLOOR(I109*IF(T109&lt;&gt;"",T109,IF(E109="농지",3,4))/100,10))</f>
        <v/>
      </c>
      <c r="AD109" s="7">
        <f>IF(I109="","",FLOOR(I109*IF(T109&lt;&gt;"",N(U109),0.2)/100,10))</f>
        <v/>
      </c>
      <c r="AE109" s="7">
        <f>IF(I109="","",FLOOR(I109*IF(T109&lt;&gt;"",N(V109),(IF(E109="농지",3,4)-2)*0.2)/100,10))</f>
        <v/>
      </c>
      <c r="AF109" s="7">
        <f>IF(N109="","",ROUND(N109*N(O109)/100*N(P109)/12,0))</f>
        <v/>
      </c>
      <c r="AG109" s="7">
        <f>IF(I109="","",I109+AC109+AD109+AE109+N(K109)+N(L109)+N(M109)+N(Q109)+N(AF109))</f>
        <v/>
      </c>
      <c r="AH109" s="7">
        <f>IF(OR(R109="",S109=""),"",ROUND(R109*S109/100,0))</f>
        <v/>
      </c>
      <c r="AI109" s="7">
        <f>IF(OR(AG109="",R109=""),"",R109-N(AH109)-AG109)</f>
        <v/>
      </c>
      <c r="AJ109" s="6">
        <f>IF(AI109="","",ROUND(AI109/AG109*100,1))</f>
        <v/>
      </c>
    </row>
    <row r="110">
      <c r="A110" s="3" t="n"/>
      <c r="B110" s="3" t="n"/>
      <c r="C110" s="4" t="n"/>
      <c r="D110" s="3" t="n"/>
      <c r="E110" s="3" t="n"/>
      <c r="F110" s="3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3" t="n"/>
      <c r="P110" s="3" t="n"/>
      <c r="Q110" s="5" t="n"/>
      <c r="R110" s="5" t="n"/>
      <c r="S110" s="3" t="n"/>
      <c r="T110" s="3" t="n"/>
      <c r="U110" s="3" t="n"/>
      <c r="V110" s="3" t="n"/>
      <c r="W110" s="3" t="n"/>
      <c r="X110" s="3" t="n"/>
      <c r="Y110" s="3" t="n"/>
      <c r="Z110" s="6">
        <f>IF(F110="","",ROUND(F110/3.305785,1))</f>
        <v/>
      </c>
      <c r="AA110" s="6">
        <f>IF(OR(G110="",I110=""),"",ROUND(I110/G110*100,1))</f>
        <v/>
      </c>
      <c r="AB110" s="7">
        <f>IF(OR(Z110="",I110=""),"",ROUND(I110/Z110,0))</f>
        <v/>
      </c>
      <c r="AC110" s="7">
        <f>IF(I110="","",FLOOR(I110*IF(T110&lt;&gt;"",T110,IF(E110="농지",3,4))/100,10))</f>
        <v/>
      </c>
      <c r="AD110" s="7">
        <f>IF(I110="","",FLOOR(I110*IF(T110&lt;&gt;"",N(U110),0.2)/100,10))</f>
        <v/>
      </c>
      <c r="AE110" s="7">
        <f>IF(I110="","",FLOOR(I110*IF(T110&lt;&gt;"",N(V110),(IF(E110="농지",3,4)-2)*0.2)/100,10))</f>
        <v/>
      </c>
      <c r="AF110" s="7">
        <f>IF(N110="","",ROUND(N110*N(O110)/100*N(P110)/12,0))</f>
        <v/>
      </c>
      <c r="AG110" s="7">
        <f>IF(I110="","",I110+AC110+AD110+AE110+N(K110)+N(L110)+N(M110)+N(Q110)+N(AF110))</f>
        <v/>
      </c>
      <c r="AH110" s="7">
        <f>IF(OR(R110="",S110=""),"",ROUND(R110*S110/100,0))</f>
        <v/>
      </c>
      <c r="AI110" s="7">
        <f>IF(OR(AG110="",R110=""),"",R110-N(AH110)-AG110)</f>
        <v/>
      </c>
      <c r="AJ110" s="6">
        <f>IF(AI110="","",ROUND(AI110/AG110*100,1))</f>
        <v/>
      </c>
    </row>
    <row r="111">
      <c r="A111" s="3" t="n"/>
      <c r="B111" s="3" t="n"/>
      <c r="C111" s="4" t="n"/>
      <c r="D111" s="3" t="n"/>
      <c r="E111" s="3" t="n"/>
      <c r="F111" s="3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3" t="n"/>
      <c r="P111" s="3" t="n"/>
      <c r="Q111" s="5" t="n"/>
      <c r="R111" s="5" t="n"/>
      <c r="S111" s="3" t="n"/>
      <c r="T111" s="3" t="n"/>
      <c r="U111" s="3" t="n"/>
      <c r="V111" s="3" t="n"/>
      <c r="W111" s="3" t="n"/>
      <c r="X111" s="3" t="n"/>
      <c r="Y111" s="3" t="n"/>
      <c r="Z111" s="6">
        <f>IF(F111="","",ROUND(F111/3.305785,1))</f>
        <v/>
      </c>
      <c r="AA111" s="6">
        <f>IF(OR(G111="",I111=""),"",ROUND(I111/G111*100,1))</f>
        <v/>
      </c>
      <c r="AB111" s="7">
        <f>IF(OR(Z111="",I111=""),"",ROUND(I111/Z111,0))</f>
        <v/>
      </c>
      <c r="AC111" s="7">
        <f>IF(I111="","",FLOOR(I111*IF(T111&lt;&gt;"",T111,IF(E111="농지",3,4))/100,10))</f>
        <v/>
      </c>
      <c r="AD111" s="7">
        <f>IF(I111="","",FLOOR(I111*IF(T111&lt;&gt;"",N(U111),0.2)/100,10))</f>
        <v/>
      </c>
      <c r="AE111" s="7">
        <f>IF(I111="","",FLOOR(I111*IF(T111&lt;&gt;"",N(V111),(IF(E111="농지",3,4)-2)*0.2)/100,10))</f>
        <v/>
      </c>
      <c r="AF111" s="7">
        <f>IF(N111="","",ROUND(N111*N(O111)/100*N(P111)/12,0))</f>
        <v/>
      </c>
      <c r="AG111" s="7">
        <f>IF(I111="","",I111+AC111+AD111+AE111+N(K111)+N(L111)+N(M111)+N(Q111)+N(AF111))</f>
        <v/>
      </c>
      <c r="AH111" s="7">
        <f>IF(OR(R111="",S111=""),"",ROUND(R111*S111/100,0))</f>
        <v/>
      </c>
      <c r="AI111" s="7">
        <f>IF(OR(AG111="",R111=""),"",R111-N(AH111)-AG111)</f>
        <v/>
      </c>
      <c r="AJ111" s="6">
        <f>IF(AI111="","",ROUND(AI111/AG111*100,1))</f>
        <v/>
      </c>
    </row>
    <row r="112">
      <c r="A112" s="3" t="n"/>
      <c r="B112" s="3" t="n"/>
      <c r="C112" s="4" t="n"/>
      <c r="D112" s="3" t="n"/>
      <c r="E112" s="3" t="n"/>
      <c r="F112" s="3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3" t="n"/>
      <c r="P112" s="3" t="n"/>
      <c r="Q112" s="5" t="n"/>
      <c r="R112" s="5" t="n"/>
      <c r="S112" s="3" t="n"/>
      <c r="T112" s="3" t="n"/>
      <c r="U112" s="3" t="n"/>
      <c r="V112" s="3" t="n"/>
      <c r="W112" s="3" t="n"/>
      <c r="X112" s="3" t="n"/>
      <c r="Y112" s="3" t="n"/>
      <c r="Z112" s="6">
        <f>IF(F112="","",ROUND(F112/3.305785,1))</f>
        <v/>
      </c>
      <c r="AA112" s="6">
        <f>IF(OR(G112="",I112=""),"",ROUND(I112/G112*100,1))</f>
        <v/>
      </c>
      <c r="AB112" s="7">
        <f>IF(OR(Z112="",I112=""),"",ROUND(I112/Z112,0))</f>
        <v/>
      </c>
      <c r="AC112" s="7">
        <f>IF(I112="","",FLOOR(I112*IF(T112&lt;&gt;"",T112,IF(E112="농지",3,4))/100,10))</f>
        <v/>
      </c>
      <c r="AD112" s="7">
        <f>IF(I112="","",FLOOR(I112*IF(T112&lt;&gt;"",N(U112),0.2)/100,10))</f>
        <v/>
      </c>
      <c r="AE112" s="7">
        <f>IF(I112="","",FLOOR(I112*IF(T112&lt;&gt;"",N(V112),(IF(E112="농지",3,4)-2)*0.2)/100,10))</f>
        <v/>
      </c>
      <c r="AF112" s="7">
        <f>IF(N112="","",ROUND(N112*N(O112)/100*N(P112)/12,0))</f>
        <v/>
      </c>
      <c r="AG112" s="7">
        <f>IF(I112="","",I112+AC112+AD112+AE112+N(K112)+N(L112)+N(M112)+N(Q112)+N(AF112))</f>
        <v/>
      </c>
      <c r="AH112" s="7">
        <f>IF(OR(R112="",S112=""),"",ROUND(R112*S112/100,0))</f>
        <v/>
      </c>
      <c r="AI112" s="7">
        <f>IF(OR(AG112="",R112=""),"",R112-N(AH112)-AG112)</f>
        <v/>
      </c>
      <c r="AJ112" s="6">
        <f>IF(AI112="","",ROUND(AI112/AG112*100,1))</f>
        <v/>
      </c>
    </row>
    <row r="113">
      <c r="A113" s="3" t="n"/>
      <c r="B113" s="3" t="n"/>
      <c r="C113" s="4" t="n"/>
      <c r="D113" s="3" t="n"/>
      <c r="E113" s="3" t="n"/>
      <c r="F113" s="3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3" t="n"/>
      <c r="P113" s="3" t="n"/>
      <c r="Q113" s="5" t="n"/>
      <c r="R113" s="5" t="n"/>
      <c r="S113" s="3" t="n"/>
      <c r="T113" s="3" t="n"/>
      <c r="U113" s="3" t="n"/>
      <c r="V113" s="3" t="n"/>
      <c r="W113" s="3" t="n"/>
      <c r="X113" s="3" t="n"/>
      <c r="Y113" s="3" t="n"/>
      <c r="Z113" s="6">
        <f>IF(F113="","",ROUND(F113/3.305785,1))</f>
        <v/>
      </c>
      <c r="AA113" s="6">
        <f>IF(OR(G113="",I113=""),"",ROUND(I113/G113*100,1))</f>
        <v/>
      </c>
      <c r="AB113" s="7">
        <f>IF(OR(Z113="",I113=""),"",ROUND(I113/Z113,0))</f>
        <v/>
      </c>
      <c r="AC113" s="7">
        <f>IF(I113="","",FLOOR(I113*IF(T113&lt;&gt;"",T113,IF(E113="농지",3,4))/100,10))</f>
        <v/>
      </c>
      <c r="AD113" s="7">
        <f>IF(I113="","",FLOOR(I113*IF(T113&lt;&gt;"",N(U113),0.2)/100,10))</f>
        <v/>
      </c>
      <c r="AE113" s="7">
        <f>IF(I113="","",FLOOR(I113*IF(T113&lt;&gt;"",N(V113),(IF(E113="농지",3,4)-2)*0.2)/100,10))</f>
        <v/>
      </c>
      <c r="AF113" s="7">
        <f>IF(N113="","",ROUND(N113*N(O113)/100*N(P113)/12,0))</f>
        <v/>
      </c>
      <c r="AG113" s="7">
        <f>IF(I113="","",I113+AC113+AD113+AE113+N(K113)+N(L113)+N(M113)+N(Q113)+N(AF113))</f>
        <v/>
      </c>
      <c r="AH113" s="7">
        <f>IF(OR(R113="",S113=""),"",ROUND(R113*S113/100,0))</f>
        <v/>
      </c>
      <c r="AI113" s="7">
        <f>IF(OR(AG113="",R113=""),"",R113-N(AH113)-AG113)</f>
        <v/>
      </c>
      <c r="AJ113" s="6">
        <f>IF(AI113="","",ROUND(AI113/AG113*100,1))</f>
        <v/>
      </c>
    </row>
    <row r="114">
      <c r="A114" s="3" t="n"/>
      <c r="B114" s="3" t="n"/>
      <c r="C114" s="4" t="n"/>
      <c r="D114" s="3" t="n"/>
      <c r="E114" s="3" t="n"/>
      <c r="F114" s="3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3" t="n"/>
      <c r="P114" s="3" t="n"/>
      <c r="Q114" s="5" t="n"/>
      <c r="R114" s="5" t="n"/>
      <c r="S114" s="3" t="n"/>
      <c r="T114" s="3" t="n"/>
      <c r="U114" s="3" t="n"/>
      <c r="V114" s="3" t="n"/>
      <c r="W114" s="3" t="n"/>
      <c r="X114" s="3" t="n"/>
      <c r="Y114" s="3" t="n"/>
      <c r="Z114" s="6">
        <f>IF(F114="","",ROUND(F114/3.305785,1))</f>
        <v/>
      </c>
      <c r="AA114" s="6">
        <f>IF(OR(G114="",I114=""),"",ROUND(I114/G114*100,1))</f>
        <v/>
      </c>
      <c r="AB114" s="7">
        <f>IF(OR(Z114="",I114=""),"",ROUND(I114/Z114,0))</f>
        <v/>
      </c>
      <c r="AC114" s="7">
        <f>IF(I114="","",FLOOR(I114*IF(T114&lt;&gt;"",T114,IF(E114="농지",3,4))/100,10))</f>
        <v/>
      </c>
      <c r="AD114" s="7">
        <f>IF(I114="","",FLOOR(I114*IF(T114&lt;&gt;"",N(U114),0.2)/100,10))</f>
        <v/>
      </c>
      <c r="AE114" s="7">
        <f>IF(I114="","",FLOOR(I114*IF(T114&lt;&gt;"",N(V114),(IF(E114="농지",3,4)-2)*0.2)/100,10))</f>
        <v/>
      </c>
      <c r="AF114" s="7">
        <f>IF(N114="","",ROUND(N114*N(O114)/100*N(P114)/12,0))</f>
        <v/>
      </c>
      <c r="AG114" s="7">
        <f>IF(I114="","",I114+AC114+AD114+AE114+N(K114)+N(L114)+N(M114)+N(Q114)+N(AF114))</f>
        <v/>
      </c>
      <c r="AH114" s="7">
        <f>IF(OR(R114="",S114=""),"",ROUND(R114*S114/100,0))</f>
        <v/>
      </c>
      <c r="AI114" s="7">
        <f>IF(OR(AG114="",R114=""),"",R114-N(AH114)-AG114)</f>
        <v/>
      </c>
      <c r="AJ114" s="6">
        <f>IF(AI114="","",ROUND(AI114/AG114*100,1))</f>
        <v/>
      </c>
    </row>
    <row r="115">
      <c r="A115" s="3" t="n"/>
      <c r="B115" s="3" t="n"/>
      <c r="C115" s="4" t="n"/>
      <c r="D115" s="3" t="n"/>
      <c r="E115" s="3" t="n"/>
      <c r="F115" s="3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3" t="n"/>
      <c r="P115" s="3" t="n"/>
      <c r="Q115" s="5" t="n"/>
      <c r="R115" s="5" t="n"/>
      <c r="S115" s="3" t="n"/>
      <c r="T115" s="3" t="n"/>
      <c r="U115" s="3" t="n"/>
      <c r="V115" s="3" t="n"/>
      <c r="W115" s="3" t="n"/>
      <c r="X115" s="3" t="n"/>
      <c r="Y115" s="3" t="n"/>
      <c r="Z115" s="6">
        <f>IF(F115="","",ROUND(F115/3.305785,1))</f>
        <v/>
      </c>
      <c r="AA115" s="6">
        <f>IF(OR(G115="",I115=""),"",ROUND(I115/G115*100,1))</f>
        <v/>
      </c>
      <c r="AB115" s="7">
        <f>IF(OR(Z115="",I115=""),"",ROUND(I115/Z115,0))</f>
        <v/>
      </c>
      <c r="AC115" s="7">
        <f>IF(I115="","",FLOOR(I115*IF(T115&lt;&gt;"",T115,IF(E115="농지",3,4))/100,10))</f>
        <v/>
      </c>
      <c r="AD115" s="7">
        <f>IF(I115="","",FLOOR(I115*IF(T115&lt;&gt;"",N(U115),0.2)/100,10))</f>
        <v/>
      </c>
      <c r="AE115" s="7">
        <f>IF(I115="","",FLOOR(I115*IF(T115&lt;&gt;"",N(V115),(IF(E115="농지",3,4)-2)*0.2)/100,10))</f>
        <v/>
      </c>
      <c r="AF115" s="7">
        <f>IF(N115="","",ROUND(N115*N(O115)/100*N(P115)/12,0))</f>
        <v/>
      </c>
      <c r="AG115" s="7">
        <f>IF(I115="","",I115+AC115+AD115+AE115+N(K115)+N(L115)+N(M115)+N(Q115)+N(AF115))</f>
        <v/>
      </c>
      <c r="AH115" s="7">
        <f>IF(OR(R115="",S115=""),"",ROUND(R115*S115/100,0))</f>
        <v/>
      </c>
      <c r="AI115" s="7">
        <f>IF(OR(AG115="",R115=""),"",R115-N(AH115)-AG115)</f>
        <v/>
      </c>
      <c r="AJ115" s="6">
        <f>IF(AI115="","",ROUND(AI115/AG115*100,1))</f>
        <v/>
      </c>
    </row>
    <row r="116">
      <c r="A116" s="3" t="n"/>
      <c r="B116" s="3" t="n"/>
      <c r="C116" s="4" t="n"/>
      <c r="D116" s="3" t="n"/>
      <c r="E116" s="3" t="n"/>
      <c r="F116" s="3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3" t="n"/>
      <c r="P116" s="3" t="n"/>
      <c r="Q116" s="5" t="n"/>
      <c r="R116" s="5" t="n"/>
      <c r="S116" s="3" t="n"/>
      <c r="T116" s="3" t="n"/>
      <c r="U116" s="3" t="n"/>
      <c r="V116" s="3" t="n"/>
      <c r="W116" s="3" t="n"/>
      <c r="X116" s="3" t="n"/>
      <c r="Y116" s="3" t="n"/>
      <c r="Z116" s="6">
        <f>IF(F116="","",ROUND(F116/3.305785,1))</f>
        <v/>
      </c>
      <c r="AA116" s="6">
        <f>IF(OR(G116="",I116=""),"",ROUND(I116/G116*100,1))</f>
        <v/>
      </c>
      <c r="AB116" s="7">
        <f>IF(OR(Z116="",I116=""),"",ROUND(I116/Z116,0))</f>
        <v/>
      </c>
      <c r="AC116" s="7">
        <f>IF(I116="","",FLOOR(I116*IF(T116&lt;&gt;"",T116,IF(E116="농지",3,4))/100,10))</f>
        <v/>
      </c>
      <c r="AD116" s="7">
        <f>IF(I116="","",FLOOR(I116*IF(T116&lt;&gt;"",N(U116),0.2)/100,10))</f>
        <v/>
      </c>
      <c r="AE116" s="7">
        <f>IF(I116="","",FLOOR(I116*IF(T116&lt;&gt;"",N(V116),(IF(E116="농지",3,4)-2)*0.2)/100,10))</f>
        <v/>
      </c>
      <c r="AF116" s="7">
        <f>IF(N116="","",ROUND(N116*N(O116)/100*N(P116)/12,0))</f>
        <v/>
      </c>
      <c r="AG116" s="7">
        <f>IF(I116="","",I116+AC116+AD116+AE116+N(K116)+N(L116)+N(M116)+N(Q116)+N(AF116))</f>
        <v/>
      </c>
      <c r="AH116" s="7">
        <f>IF(OR(R116="",S116=""),"",ROUND(R116*S116/100,0))</f>
        <v/>
      </c>
      <c r="AI116" s="7">
        <f>IF(OR(AG116="",R116=""),"",R116-N(AH116)-AG116)</f>
        <v/>
      </c>
      <c r="AJ116" s="6">
        <f>IF(AI116="","",ROUND(AI116/AG116*100,1))</f>
        <v/>
      </c>
    </row>
    <row r="117">
      <c r="A117" s="3" t="n"/>
      <c r="B117" s="3" t="n"/>
      <c r="C117" s="4" t="n"/>
      <c r="D117" s="3" t="n"/>
      <c r="E117" s="3" t="n"/>
      <c r="F117" s="3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3" t="n"/>
      <c r="P117" s="3" t="n"/>
      <c r="Q117" s="5" t="n"/>
      <c r="R117" s="5" t="n"/>
      <c r="S117" s="3" t="n"/>
      <c r="T117" s="3" t="n"/>
      <c r="U117" s="3" t="n"/>
      <c r="V117" s="3" t="n"/>
      <c r="W117" s="3" t="n"/>
      <c r="X117" s="3" t="n"/>
      <c r="Y117" s="3" t="n"/>
      <c r="Z117" s="6">
        <f>IF(F117="","",ROUND(F117/3.305785,1))</f>
        <v/>
      </c>
      <c r="AA117" s="6">
        <f>IF(OR(G117="",I117=""),"",ROUND(I117/G117*100,1))</f>
        <v/>
      </c>
      <c r="AB117" s="7">
        <f>IF(OR(Z117="",I117=""),"",ROUND(I117/Z117,0))</f>
        <v/>
      </c>
      <c r="AC117" s="7">
        <f>IF(I117="","",FLOOR(I117*IF(T117&lt;&gt;"",T117,IF(E117="농지",3,4))/100,10))</f>
        <v/>
      </c>
      <c r="AD117" s="7">
        <f>IF(I117="","",FLOOR(I117*IF(T117&lt;&gt;"",N(U117),0.2)/100,10))</f>
        <v/>
      </c>
      <c r="AE117" s="7">
        <f>IF(I117="","",FLOOR(I117*IF(T117&lt;&gt;"",N(V117),(IF(E117="농지",3,4)-2)*0.2)/100,10))</f>
        <v/>
      </c>
      <c r="AF117" s="7">
        <f>IF(N117="","",ROUND(N117*N(O117)/100*N(P117)/12,0))</f>
        <v/>
      </c>
      <c r="AG117" s="7">
        <f>IF(I117="","",I117+AC117+AD117+AE117+N(K117)+N(L117)+N(M117)+N(Q117)+N(AF117))</f>
        <v/>
      </c>
      <c r="AH117" s="7">
        <f>IF(OR(R117="",S117=""),"",ROUND(R117*S117/100,0))</f>
        <v/>
      </c>
      <c r="AI117" s="7">
        <f>IF(OR(AG117="",R117=""),"",R117-N(AH117)-AG117)</f>
        <v/>
      </c>
      <c r="AJ117" s="6">
        <f>IF(AI117="","",ROUND(AI117/AG117*100,1))</f>
        <v/>
      </c>
    </row>
    <row r="118">
      <c r="A118" s="3" t="n"/>
      <c r="B118" s="3" t="n"/>
      <c r="C118" s="4" t="n"/>
      <c r="D118" s="3" t="n"/>
      <c r="E118" s="3" t="n"/>
      <c r="F118" s="3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3" t="n"/>
      <c r="P118" s="3" t="n"/>
      <c r="Q118" s="5" t="n"/>
      <c r="R118" s="5" t="n"/>
      <c r="S118" s="3" t="n"/>
      <c r="T118" s="3" t="n"/>
      <c r="U118" s="3" t="n"/>
      <c r="V118" s="3" t="n"/>
      <c r="W118" s="3" t="n"/>
      <c r="X118" s="3" t="n"/>
      <c r="Y118" s="3" t="n"/>
      <c r="Z118" s="6">
        <f>IF(F118="","",ROUND(F118/3.305785,1))</f>
        <v/>
      </c>
      <c r="AA118" s="6">
        <f>IF(OR(G118="",I118=""),"",ROUND(I118/G118*100,1))</f>
        <v/>
      </c>
      <c r="AB118" s="7">
        <f>IF(OR(Z118="",I118=""),"",ROUND(I118/Z118,0))</f>
        <v/>
      </c>
      <c r="AC118" s="7">
        <f>IF(I118="","",FLOOR(I118*IF(T118&lt;&gt;"",T118,IF(E118="농지",3,4))/100,10))</f>
        <v/>
      </c>
      <c r="AD118" s="7">
        <f>IF(I118="","",FLOOR(I118*IF(T118&lt;&gt;"",N(U118),0.2)/100,10))</f>
        <v/>
      </c>
      <c r="AE118" s="7">
        <f>IF(I118="","",FLOOR(I118*IF(T118&lt;&gt;"",N(V118),(IF(E118="농지",3,4)-2)*0.2)/100,10))</f>
        <v/>
      </c>
      <c r="AF118" s="7">
        <f>IF(N118="","",ROUND(N118*N(O118)/100*N(P118)/12,0))</f>
        <v/>
      </c>
      <c r="AG118" s="7">
        <f>IF(I118="","",I118+AC118+AD118+AE118+N(K118)+N(L118)+N(M118)+N(Q118)+N(AF118))</f>
        <v/>
      </c>
      <c r="AH118" s="7">
        <f>IF(OR(R118="",S118=""),"",ROUND(R118*S118/100,0))</f>
        <v/>
      </c>
      <c r="AI118" s="7">
        <f>IF(OR(AG118="",R118=""),"",R118-N(AH118)-AG118)</f>
        <v/>
      </c>
      <c r="AJ118" s="6">
        <f>IF(AI118="","",ROUND(AI118/AG118*100,1))</f>
        <v/>
      </c>
    </row>
    <row r="119">
      <c r="A119" s="3" t="n"/>
      <c r="B119" s="3" t="n"/>
      <c r="C119" s="4" t="n"/>
      <c r="D119" s="3" t="n"/>
      <c r="E119" s="3" t="n"/>
      <c r="F119" s="3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3" t="n"/>
      <c r="P119" s="3" t="n"/>
      <c r="Q119" s="5" t="n"/>
      <c r="R119" s="5" t="n"/>
      <c r="S119" s="3" t="n"/>
      <c r="T119" s="3" t="n"/>
      <c r="U119" s="3" t="n"/>
      <c r="V119" s="3" t="n"/>
      <c r="W119" s="3" t="n"/>
      <c r="X119" s="3" t="n"/>
      <c r="Y119" s="3" t="n"/>
      <c r="Z119" s="6">
        <f>IF(F119="","",ROUND(F119/3.305785,1))</f>
        <v/>
      </c>
      <c r="AA119" s="6">
        <f>IF(OR(G119="",I119=""),"",ROUND(I119/G119*100,1))</f>
        <v/>
      </c>
      <c r="AB119" s="7">
        <f>IF(OR(Z119="",I119=""),"",ROUND(I119/Z119,0))</f>
        <v/>
      </c>
      <c r="AC119" s="7">
        <f>IF(I119="","",FLOOR(I119*IF(T119&lt;&gt;"",T119,IF(E119="농지",3,4))/100,10))</f>
        <v/>
      </c>
      <c r="AD119" s="7">
        <f>IF(I119="","",FLOOR(I119*IF(T119&lt;&gt;"",N(U119),0.2)/100,10))</f>
        <v/>
      </c>
      <c r="AE119" s="7">
        <f>IF(I119="","",FLOOR(I119*IF(T119&lt;&gt;"",N(V119),(IF(E119="농지",3,4)-2)*0.2)/100,10))</f>
        <v/>
      </c>
      <c r="AF119" s="7">
        <f>IF(N119="","",ROUND(N119*N(O119)/100*N(P119)/12,0))</f>
        <v/>
      </c>
      <c r="AG119" s="7">
        <f>IF(I119="","",I119+AC119+AD119+AE119+N(K119)+N(L119)+N(M119)+N(Q119)+N(AF119))</f>
        <v/>
      </c>
      <c r="AH119" s="7">
        <f>IF(OR(R119="",S119=""),"",ROUND(R119*S119/100,0))</f>
        <v/>
      </c>
      <c r="AI119" s="7">
        <f>IF(OR(AG119="",R119=""),"",R119-N(AH119)-AG119)</f>
        <v/>
      </c>
      <c r="AJ119" s="6">
        <f>IF(AI119="","",ROUND(AI119/AG119*100,1))</f>
        <v/>
      </c>
    </row>
    <row r="120">
      <c r="A120" s="3" t="n"/>
      <c r="B120" s="3" t="n"/>
      <c r="C120" s="4" t="n"/>
      <c r="D120" s="3" t="n"/>
      <c r="E120" s="3" t="n"/>
      <c r="F120" s="3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3" t="n"/>
      <c r="P120" s="3" t="n"/>
      <c r="Q120" s="5" t="n"/>
      <c r="R120" s="5" t="n"/>
      <c r="S120" s="3" t="n"/>
      <c r="T120" s="3" t="n"/>
      <c r="U120" s="3" t="n"/>
      <c r="V120" s="3" t="n"/>
      <c r="W120" s="3" t="n"/>
      <c r="X120" s="3" t="n"/>
      <c r="Y120" s="3" t="n"/>
      <c r="Z120" s="6">
        <f>IF(F120="","",ROUND(F120/3.305785,1))</f>
        <v/>
      </c>
      <c r="AA120" s="6">
        <f>IF(OR(G120="",I120=""),"",ROUND(I120/G120*100,1))</f>
        <v/>
      </c>
      <c r="AB120" s="7">
        <f>IF(OR(Z120="",I120=""),"",ROUND(I120/Z120,0))</f>
        <v/>
      </c>
      <c r="AC120" s="7">
        <f>IF(I120="","",FLOOR(I120*IF(T120&lt;&gt;"",T120,IF(E120="농지",3,4))/100,10))</f>
        <v/>
      </c>
      <c r="AD120" s="7">
        <f>IF(I120="","",FLOOR(I120*IF(T120&lt;&gt;"",N(U120),0.2)/100,10))</f>
        <v/>
      </c>
      <c r="AE120" s="7">
        <f>IF(I120="","",FLOOR(I120*IF(T120&lt;&gt;"",N(V120),(IF(E120="농지",3,4)-2)*0.2)/100,10))</f>
        <v/>
      </c>
      <c r="AF120" s="7">
        <f>IF(N120="","",ROUND(N120*N(O120)/100*N(P120)/12,0))</f>
        <v/>
      </c>
      <c r="AG120" s="7">
        <f>IF(I120="","",I120+AC120+AD120+AE120+N(K120)+N(L120)+N(M120)+N(Q120)+N(AF120))</f>
        <v/>
      </c>
      <c r="AH120" s="7">
        <f>IF(OR(R120="",S120=""),"",ROUND(R120*S120/100,0))</f>
        <v/>
      </c>
      <c r="AI120" s="7">
        <f>IF(OR(AG120="",R120=""),"",R120-N(AH120)-AG120)</f>
        <v/>
      </c>
      <c r="AJ120" s="6">
        <f>IF(AI120="","",ROUND(AI120/AG120*100,1))</f>
        <v/>
      </c>
    </row>
    <row r="121">
      <c r="A121" s="3" t="n"/>
      <c r="B121" s="3" t="n"/>
      <c r="C121" s="4" t="n"/>
      <c r="D121" s="3" t="n"/>
      <c r="E121" s="3" t="n"/>
      <c r="F121" s="3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3" t="n"/>
      <c r="P121" s="3" t="n"/>
      <c r="Q121" s="5" t="n"/>
      <c r="R121" s="5" t="n"/>
      <c r="S121" s="3" t="n"/>
      <c r="T121" s="3" t="n"/>
      <c r="U121" s="3" t="n"/>
      <c r="V121" s="3" t="n"/>
      <c r="W121" s="3" t="n"/>
      <c r="X121" s="3" t="n"/>
      <c r="Y121" s="3" t="n"/>
      <c r="Z121" s="6">
        <f>IF(F121="","",ROUND(F121/3.305785,1))</f>
        <v/>
      </c>
      <c r="AA121" s="6">
        <f>IF(OR(G121="",I121=""),"",ROUND(I121/G121*100,1))</f>
        <v/>
      </c>
      <c r="AB121" s="7">
        <f>IF(OR(Z121="",I121=""),"",ROUND(I121/Z121,0))</f>
        <v/>
      </c>
      <c r="AC121" s="7">
        <f>IF(I121="","",FLOOR(I121*IF(T121&lt;&gt;"",T121,IF(E121="농지",3,4))/100,10))</f>
        <v/>
      </c>
      <c r="AD121" s="7">
        <f>IF(I121="","",FLOOR(I121*IF(T121&lt;&gt;"",N(U121),0.2)/100,10))</f>
        <v/>
      </c>
      <c r="AE121" s="7">
        <f>IF(I121="","",FLOOR(I121*IF(T121&lt;&gt;"",N(V121),(IF(E121="농지",3,4)-2)*0.2)/100,10))</f>
        <v/>
      </c>
      <c r="AF121" s="7">
        <f>IF(N121="","",ROUND(N121*N(O121)/100*N(P121)/12,0))</f>
        <v/>
      </c>
      <c r="AG121" s="7">
        <f>IF(I121="","",I121+AC121+AD121+AE121+N(K121)+N(L121)+N(M121)+N(Q121)+N(AF121))</f>
        <v/>
      </c>
      <c r="AH121" s="7">
        <f>IF(OR(R121="",S121=""),"",ROUND(R121*S121/100,0))</f>
        <v/>
      </c>
      <c r="AI121" s="7">
        <f>IF(OR(AG121="",R121=""),"",R121-N(AH121)-AG121)</f>
        <v/>
      </c>
      <c r="AJ121" s="6">
        <f>IF(AI121="","",ROUND(AI121/AG121*100,1))</f>
        <v/>
      </c>
    </row>
    <row r="122">
      <c r="A122" s="3" t="n"/>
      <c r="B122" s="3" t="n"/>
      <c r="C122" s="4" t="n"/>
      <c r="D122" s="3" t="n"/>
      <c r="E122" s="3" t="n"/>
      <c r="F122" s="3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3" t="n"/>
      <c r="P122" s="3" t="n"/>
      <c r="Q122" s="5" t="n"/>
      <c r="R122" s="5" t="n"/>
      <c r="S122" s="3" t="n"/>
      <c r="T122" s="3" t="n"/>
      <c r="U122" s="3" t="n"/>
      <c r="V122" s="3" t="n"/>
      <c r="W122" s="3" t="n"/>
      <c r="X122" s="3" t="n"/>
      <c r="Y122" s="3" t="n"/>
      <c r="Z122" s="6">
        <f>IF(F122="","",ROUND(F122/3.305785,1))</f>
        <v/>
      </c>
      <c r="AA122" s="6">
        <f>IF(OR(G122="",I122=""),"",ROUND(I122/G122*100,1))</f>
        <v/>
      </c>
      <c r="AB122" s="7">
        <f>IF(OR(Z122="",I122=""),"",ROUND(I122/Z122,0))</f>
        <v/>
      </c>
      <c r="AC122" s="7">
        <f>IF(I122="","",FLOOR(I122*IF(T122&lt;&gt;"",T122,IF(E122="농지",3,4))/100,10))</f>
        <v/>
      </c>
      <c r="AD122" s="7">
        <f>IF(I122="","",FLOOR(I122*IF(T122&lt;&gt;"",N(U122),0.2)/100,10))</f>
        <v/>
      </c>
      <c r="AE122" s="7">
        <f>IF(I122="","",FLOOR(I122*IF(T122&lt;&gt;"",N(V122),(IF(E122="농지",3,4)-2)*0.2)/100,10))</f>
        <v/>
      </c>
      <c r="AF122" s="7">
        <f>IF(N122="","",ROUND(N122*N(O122)/100*N(P122)/12,0))</f>
        <v/>
      </c>
      <c r="AG122" s="7">
        <f>IF(I122="","",I122+AC122+AD122+AE122+N(K122)+N(L122)+N(M122)+N(Q122)+N(AF122))</f>
        <v/>
      </c>
      <c r="AH122" s="7">
        <f>IF(OR(R122="",S122=""),"",ROUND(R122*S122/100,0))</f>
        <v/>
      </c>
      <c r="AI122" s="7">
        <f>IF(OR(AG122="",R122=""),"",R122-N(AH122)-AG122)</f>
        <v/>
      </c>
      <c r="AJ122" s="6">
        <f>IF(AI122="","",ROUND(AI122/AG122*100,1))</f>
        <v/>
      </c>
    </row>
    <row r="123">
      <c r="A123" s="3" t="n"/>
      <c r="B123" s="3" t="n"/>
      <c r="C123" s="4" t="n"/>
      <c r="D123" s="3" t="n"/>
      <c r="E123" s="3" t="n"/>
      <c r="F123" s="3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3" t="n"/>
      <c r="P123" s="3" t="n"/>
      <c r="Q123" s="5" t="n"/>
      <c r="R123" s="5" t="n"/>
      <c r="S123" s="3" t="n"/>
      <c r="T123" s="3" t="n"/>
      <c r="U123" s="3" t="n"/>
      <c r="V123" s="3" t="n"/>
      <c r="W123" s="3" t="n"/>
      <c r="X123" s="3" t="n"/>
      <c r="Y123" s="3" t="n"/>
      <c r="Z123" s="6">
        <f>IF(F123="","",ROUND(F123/3.305785,1))</f>
        <v/>
      </c>
      <c r="AA123" s="6">
        <f>IF(OR(G123="",I123=""),"",ROUND(I123/G123*100,1))</f>
        <v/>
      </c>
      <c r="AB123" s="7">
        <f>IF(OR(Z123="",I123=""),"",ROUND(I123/Z123,0))</f>
        <v/>
      </c>
      <c r="AC123" s="7">
        <f>IF(I123="","",FLOOR(I123*IF(T123&lt;&gt;"",T123,IF(E123="농지",3,4))/100,10))</f>
        <v/>
      </c>
      <c r="AD123" s="7">
        <f>IF(I123="","",FLOOR(I123*IF(T123&lt;&gt;"",N(U123),0.2)/100,10))</f>
        <v/>
      </c>
      <c r="AE123" s="7">
        <f>IF(I123="","",FLOOR(I123*IF(T123&lt;&gt;"",N(V123),(IF(E123="농지",3,4)-2)*0.2)/100,10))</f>
        <v/>
      </c>
      <c r="AF123" s="7">
        <f>IF(N123="","",ROUND(N123*N(O123)/100*N(P123)/12,0))</f>
        <v/>
      </c>
      <c r="AG123" s="7">
        <f>IF(I123="","",I123+AC123+AD123+AE123+N(K123)+N(L123)+N(M123)+N(Q123)+N(AF123))</f>
        <v/>
      </c>
      <c r="AH123" s="7">
        <f>IF(OR(R123="",S123=""),"",ROUND(R123*S123/100,0))</f>
        <v/>
      </c>
      <c r="AI123" s="7">
        <f>IF(OR(AG123="",R123=""),"",R123-N(AH123)-AG123)</f>
        <v/>
      </c>
      <c r="AJ123" s="6">
        <f>IF(AI123="","",ROUND(AI123/AG123*100,1))</f>
        <v/>
      </c>
    </row>
    <row r="124">
      <c r="A124" s="3" t="n"/>
      <c r="B124" s="3" t="n"/>
      <c r="C124" s="4" t="n"/>
      <c r="D124" s="3" t="n"/>
      <c r="E124" s="3" t="n"/>
      <c r="F124" s="3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3" t="n"/>
      <c r="P124" s="3" t="n"/>
      <c r="Q124" s="5" t="n"/>
      <c r="R124" s="5" t="n"/>
      <c r="S124" s="3" t="n"/>
      <c r="T124" s="3" t="n"/>
      <c r="U124" s="3" t="n"/>
      <c r="V124" s="3" t="n"/>
      <c r="W124" s="3" t="n"/>
      <c r="X124" s="3" t="n"/>
      <c r="Y124" s="3" t="n"/>
      <c r="Z124" s="6">
        <f>IF(F124="","",ROUND(F124/3.305785,1))</f>
        <v/>
      </c>
      <c r="AA124" s="6">
        <f>IF(OR(G124="",I124=""),"",ROUND(I124/G124*100,1))</f>
        <v/>
      </c>
      <c r="AB124" s="7">
        <f>IF(OR(Z124="",I124=""),"",ROUND(I124/Z124,0))</f>
        <v/>
      </c>
      <c r="AC124" s="7">
        <f>IF(I124="","",FLOOR(I124*IF(T124&lt;&gt;"",T124,IF(E124="농지",3,4))/100,10))</f>
        <v/>
      </c>
      <c r="AD124" s="7">
        <f>IF(I124="","",FLOOR(I124*IF(T124&lt;&gt;"",N(U124),0.2)/100,10))</f>
        <v/>
      </c>
      <c r="AE124" s="7">
        <f>IF(I124="","",FLOOR(I124*IF(T124&lt;&gt;"",N(V124),(IF(E124="농지",3,4)-2)*0.2)/100,10))</f>
        <v/>
      </c>
      <c r="AF124" s="7">
        <f>IF(N124="","",ROUND(N124*N(O124)/100*N(P124)/12,0))</f>
        <v/>
      </c>
      <c r="AG124" s="7">
        <f>IF(I124="","",I124+AC124+AD124+AE124+N(K124)+N(L124)+N(M124)+N(Q124)+N(AF124))</f>
        <v/>
      </c>
      <c r="AH124" s="7">
        <f>IF(OR(R124="",S124=""),"",ROUND(R124*S124/100,0))</f>
        <v/>
      </c>
      <c r="AI124" s="7">
        <f>IF(OR(AG124="",R124=""),"",R124-N(AH124)-AG124)</f>
        <v/>
      </c>
      <c r="AJ124" s="6">
        <f>IF(AI124="","",ROUND(AI124/AG124*100,1))</f>
        <v/>
      </c>
    </row>
    <row r="125">
      <c r="A125" s="3" t="n"/>
      <c r="B125" s="3" t="n"/>
      <c r="C125" s="4" t="n"/>
      <c r="D125" s="3" t="n"/>
      <c r="E125" s="3" t="n"/>
      <c r="F125" s="3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3" t="n"/>
      <c r="P125" s="3" t="n"/>
      <c r="Q125" s="5" t="n"/>
      <c r="R125" s="5" t="n"/>
      <c r="S125" s="3" t="n"/>
      <c r="T125" s="3" t="n"/>
      <c r="U125" s="3" t="n"/>
      <c r="V125" s="3" t="n"/>
      <c r="W125" s="3" t="n"/>
      <c r="X125" s="3" t="n"/>
      <c r="Y125" s="3" t="n"/>
      <c r="Z125" s="6">
        <f>IF(F125="","",ROUND(F125/3.305785,1))</f>
        <v/>
      </c>
      <c r="AA125" s="6">
        <f>IF(OR(G125="",I125=""),"",ROUND(I125/G125*100,1))</f>
        <v/>
      </c>
      <c r="AB125" s="7">
        <f>IF(OR(Z125="",I125=""),"",ROUND(I125/Z125,0))</f>
        <v/>
      </c>
      <c r="AC125" s="7">
        <f>IF(I125="","",FLOOR(I125*IF(T125&lt;&gt;"",T125,IF(E125="농지",3,4))/100,10))</f>
        <v/>
      </c>
      <c r="AD125" s="7">
        <f>IF(I125="","",FLOOR(I125*IF(T125&lt;&gt;"",N(U125),0.2)/100,10))</f>
        <v/>
      </c>
      <c r="AE125" s="7">
        <f>IF(I125="","",FLOOR(I125*IF(T125&lt;&gt;"",N(V125),(IF(E125="농지",3,4)-2)*0.2)/100,10))</f>
        <v/>
      </c>
      <c r="AF125" s="7">
        <f>IF(N125="","",ROUND(N125*N(O125)/100*N(P125)/12,0))</f>
        <v/>
      </c>
      <c r="AG125" s="7">
        <f>IF(I125="","",I125+AC125+AD125+AE125+N(K125)+N(L125)+N(M125)+N(Q125)+N(AF125))</f>
        <v/>
      </c>
      <c r="AH125" s="7">
        <f>IF(OR(R125="",S125=""),"",ROUND(R125*S125/100,0))</f>
        <v/>
      </c>
      <c r="AI125" s="7">
        <f>IF(OR(AG125="",R125=""),"",R125-N(AH125)-AG125)</f>
        <v/>
      </c>
      <c r="AJ125" s="6">
        <f>IF(AI125="","",ROUND(AI125/AG125*100,1))</f>
        <v/>
      </c>
    </row>
    <row r="126">
      <c r="A126" s="3" t="n"/>
      <c r="B126" s="3" t="n"/>
      <c r="C126" s="4" t="n"/>
      <c r="D126" s="3" t="n"/>
      <c r="E126" s="3" t="n"/>
      <c r="F126" s="3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3" t="n"/>
      <c r="P126" s="3" t="n"/>
      <c r="Q126" s="5" t="n"/>
      <c r="R126" s="5" t="n"/>
      <c r="S126" s="3" t="n"/>
      <c r="T126" s="3" t="n"/>
      <c r="U126" s="3" t="n"/>
      <c r="V126" s="3" t="n"/>
      <c r="W126" s="3" t="n"/>
      <c r="X126" s="3" t="n"/>
      <c r="Y126" s="3" t="n"/>
      <c r="Z126" s="6">
        <f>IF(F126="","",ROUND(F126/3.305785,1))</f>
        <v/>
      </c>
      <c r="AA126" s="6">
        <f>IF(OR(G126="",I126=""),"",ROUND(I126/G126*100,1))</f>
        <v/>
      </c>
      <c r="AB126" s="7">
        <f>IF(OR(Z126="",I126=""),"",ROUND(I126/Z126,0))</f>
        <v/>
      </c>
      <c r="AC126" s="7">
        <f>IF(I126="","",FLOOR(I126*IF(T126&lt;&gt;"",T126,IF(E126="농지",3,4))/100,10))</f>
        <v/>
      </c>
      <c r="AD126" s="7">
        <f>IF(I126="","",FLOOR(I126*IF(T126&lt;&gt;"",N(U126),0.2)/100,10))</f>
        <v/>
      </c>
      <c r="AE126" s="7">
        <f>IF(I126="","",FLOOR(I126*IF(T126&lt;&gt;"",N(V126),(IF(E126="농지",3,4)-2)*0.2)/100,10))</f>
        <v/>
      </c>
      <c r="AF126" s="7">
        <f>IF(N126="","",ROUND(N126*N(O126)/100*N(P126)/12,0))</f>
        <v/>
      </c>
      <c r="AG126" s="7">
        <f>IF(I126="","",I126+AC126+AD126+AE126+N(K126)+N(L126)+N(M126)+N(Q126)+N(AF126))</f>
        <v/>
      </c>
      <c r="AH126" s="7">
        <f>IF(OR(R126="",S126=""),"",ROUND(R126*S126/100,0))</f>
        <v/>
      </c>
      <c r="AI126" s="7">
        <f>IF(OR(AG126="",R126=""),"",R126-N(AH126)-AG126)</f>
        <v/>
      </c>
      <c r="AJ126" s="6">
        <f>IF(AI126="","",ROUND(AI126/AG126*100,1))</f>
        <v/>
      </c>
    </row>
    <row r="127">
      <c r="A127" s="3" t="n"/>
      <c r="B127" s="3" t="n"/>
      <c r="C127" s="4" t="n"/>
      <c r="D127" s="3" t="n"/>
      <c r="E127" s="3" t="n"/>
      <c r="F127" s="3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3" t="n"/>
      <c r="P127" s="3" t="n"/>
      <c r="Q127" s="5" t="n"/>
      <c r="R127" s="5" t="n"/>
      <c r="S127" s="3" t="n"/>
      <c r="T127" s="3" t="n"/>
      <c r="U127" s="3" t="n"/>
      <c r="V127" s="3" t="n"/>
      <c r="W127" s="3" t="n"/>
      <c r="X127" s="3" t="n"/>
      <c r="Y127" s="3" t="n"/>
      <c r="Z127" s="6">
        <f>IF(F127="","",ROUND(F127/3.305785,1))</f>
        <v/>
      </c>
      <c r="AA127" s="6">
        <f>IF(OR(G127="",I127=""),"",ROUND(I127/G127*100,1))</f>
        <v/>
      </c>
      <c r="AB127" s="7">
        <f>IF(OR(Z127="",I127=""),"",ROUND(I127/Z127,0))</f>
        <v/>
      </c>
      <c r="AC127" s="7">
        <f>IF(I127="","",FLOOR(I127*IF(T127&lt;&gt;"",T127,IF(E127="농지",3,4))/100,10))</f>
        <v/>
      </c>
      <c r="AD127" s="7">
        <f>IF(I127="","",FLOOR(I127*IF(T127&lt;&gt;"",N(U127),0.2)/100,10))</f>
        <v/>
      </c>
      <c r="AE127" s="7">
        <f>IF(I127="","",FLOOR(I127*IF(T127&lt;&gt;"",N(V127),(IF(E127="농지",3,4)-2)*0.2)/100,10))</f>
        <v/>
      </c>
      <c r="AF127" s="7">
        <f>IF(N127="","",ROUND(N127*N(O127)/100*N(P127)/12,0))</f>
        <v/>
      </c>
      <c r="AG127" s="7">
        <f>IF(I127="","",I127+AC127+AD127+AE127+N(K127)+N(L127)+N(M127)+N(Q127)+N(AF127))</f>
        <v/>
      </c>
      <c r="AH127" s="7">
        <f>IF(OR(R127="",S127=""),"",ROUND(R127*S127/100,0))</f>
        <v/>
      </c>
      <c r="AI127" s="7">
        <f>IF(OR(AG127="",R127=""),"",R127-N(AH127)-AG127)</f>
        <v/>
      </c>
      <c r="AJ127" s="6">
        <f>IF(AI127="","",ROUND(AI127/AG127*100,1))</f>
        <v/>
      </c>
    </row>
    <row r="128">
      <c r="A128" s="3" t="n"/>
      <c r="B128" s="3" t="n"/>
      <c r="C128" s="4" t="n"/>
      <c r="D128" s="3" t="n"/>
      <c r="E128" s="3" t="n"/>
      <c r="F128" s="3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3" t="n"/>
      <c r="P128" s="3" t="n"/>
      <c r="Q128" s="5" t="n"/>
      <c r="R128" s="5" t="n"/>
      <c r="S128" s="3" t="n"/>
      <c r="T128" s="3" t="n"/>
      <c r="U128" s="3" t="n"/>
      <c r="V128" s="3" t="n"/>
      <c r="W128" s="3" t="n"/>
      <c r="X128" s="3" t="n"/>
      <c r="Y128" s="3" t="n"/>
      <c r="Z128" s="6">
        <f>IF(F128="","",ROUND(F128/3.305785,1))</f>
        <v/>
      </c>
      <c r="AA128" s="6">
        <f>IF(OR(G128="",I128=""),"",ROUND(I128/G128*100,1))</f>
        <v/>
      </c>
      <c r="AB128" s="7">
        <f>IF(OR(Z128="",I128=""),"",ROUND(I128/Z128,0))</f>
        <v/>
      </c>
      <c r="AC128" s="7">
        <f>IF(I128="","",FLOOR(I128*IF(T128&lt;&gt;"",T128,IF(E128="농지",3,4))/100,10))</f>
        <v/>
      </c>
      <c r="AD128" s="7">
        <f>IF(I128="","",FLOOR(I128*IF(T128&lt;&gt;"",N(U128),0.2)/100,10))</f>
        <v/>
      </c>
      <c r="AE128" s="7">
        <f>IF(I128="","",FLOOR(I128*IF(T128&lt;&gt;"",N(V128),(IF(E128="농지",3,4)-2)*0.2)/100,10))</f>
        <v/>
      </c>
      <c r="AF128" s="7">
        <f>IF(N128="","",ROUND(N128*N(O128)/100*N(P128)/12,0))</f>
        <v/>
      </c>
      <c r="AG128" s="7">
        <f>IF(I128="","",I128+AC128+AD128+AE128+N(K128)+N(L128)+N(M128)+N(Q128)+N(AF128))</f>
        <v/>
      </c>
      <c r="AH128" s="7">
        <f>IF(OR(R128="",S128=""),"",ROUND(R128*S128/100,0))</f>
        <v/>
      </c>
      <c r="AI128" s="7">
        <f>IF(OR(AG128="",R128=""),"",R128-N(AH128)-AG128)</f>
        <v/>
      </c>
      <c r="AJ128" s="6">
        <f>IF(AI128="","",ROUND(AI128/AG128*100,1))</f>
        <v/>
      </c>
    </row>
    <row r="129">
      <c r="A129" s="3" t="n"/>
      <c r="B129" s="3" t="n"/>
      <c r="C129" s="4" t="n"/>
      <c r="D129" s="3" t="n"/>
      <c r="E129" s="3" t="n"/>
      <c r="F129" s="3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3" t="n"/>
      <c r="P129" s="3" t="n"/>
      <c r="Q129" s="5" t="n"/>
      <c r="R129" s="5" t="n"/>
      <c r="S129" s="3" t="n"/>
      <c r="T129" s="3" t="n"/>
      <c r="U129" s="3" t="n"/>
      <c r="V129" s="3" t="n"/>
      <c r="W129" s="3" t="n"/>
      <c r="X129" s="3" t="n"/>
      <c r="Y129" s="3" t="n"/>
      <c r="Z129" s="6">
        <f>IF(F129="","",ROUND(F129/3.305785,1))</f>
        <v/>
      </c>
      <c r="AA129" s="6">
        <f>IF(OR(G129="",I129=""),"",ROUND(I129/G129*100,1))</f>
        <v/>
      </c>
      <c r="AB129" s="7">
        <f>IF(OR(Z129="",I129=""),"",ROUND(I129/Z129,0))</f>
        <v/>
      </c>
      <c r="AC129" s="7">
        <f>IF(I129="","",FLOOR(I129*IF(T129&lt;&gt;"",T129,IF(E129="농지",3,4))/100,10))</f>
        <v/>
      </c>
      <c r="AD129" s="7">
        <f>IF(I129="","",FLOOR(I129*IF(T129&lt;&gt;"",N(U129),0.2)/100,10))</f>
        <v/>
      </c>
      <c r="AE129" s="7">
        <f>IF(I129="","",FLOOR(I129*IF(T129&lt;&gt;"",N(V129),(IF(E129="농지",3,4)-2)*0.2)/100,10))</f>
        <v/>
      </c>
      <c r="AF129" s="7">
        <f>IF(N129="","",ROUND(N129*N(O129)/100*N(P129)/12,0))</f>
        <v/>
      </c>
      <c r="AG129" s="7">
        <f>IF(I129="","",I129+AC129+AD129+AE129+N(K129)+N(L129)+N(M129)+N(Q129)+N(AF129))</f>
        <v/>
      </c>
      <c r="AH129" s="7">
        <f>IF(OR(R129="",S129=""),"",ROUND(R129*S129/100,0))</f>
        <v/>
      </c>
      <c r="AI129" s="7">
        <f>IF(OR(AG129="",R129=""),"",R129-N(AH129)-AG129)</f>
        <v/>
      </c>
      <c r="AJ129" s="6">
        <f>IF(AI129="","",ROUND(AI129/AG129*100,1))</f>
        <v/>
      </c>
    </row>
    <row r="130">
      <c r="A130" s="3" t="n"/>
      <c r="B130" s="3" t="n"/>
      <c r="C130" s="4" t="n"/>
      <c r="D130" s="3" t="n"/>
      <c r="E130" s="3" t="n"/>
      <c r="F130" s="3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3" t="n"/>
      <c r="P130" s="3" t="n"/>
      <c r="Q130" s="5" t="n"/>
      <c r="R130" s="5" t="n"/>
      <c r="S130" s="3" t="n"/>
      <c r="T130" s="3" t="n"/>
      <c r="U130" s="3" t="n"/>
      <c r="V130" s="3" t="n"/>
      <c r="W130" s="3" t="n"/>
      <c r="X130" s="3" t="n"/>
      <c r="Y130" s="3" t="n"/>
      <c r="Z130" s="6">
        <f>IF(F130="","",ROUND(F130/3.305785,1))</f>
        <v/>
      </c>
      <c r="AA130" s="6">
        <f>IF(OR(G130="",I130=""),"",ROUND(I130/G130*100,1))</f>
        <v/>
      </c>
      <c r="AB130" s="7">
        <f>IF(OR(Z130="",I130=""),"",ROUND(I130/Z130,0))</f>
        <v/>
      </c>
      <c r="AC130" s="7">
        <f>IF(I130="","",FLOOR(I130*IF(T130&lt;&gt;"",T130,IF(E130="농지",3,4))/100,10))</f>
        <v/>
      </c>
      <c r="AD130" s="7">
        <f>IF(I130="","",FLOOR(I130*IF(T130&lt;&gt;"",N(U130),0.2)/100,10))</f>
        <v/>
      </c>
      <c r="AE130" s="7">
        <f>IF(I130="","",FLOOR(I130*IF(T130&lt;&gt;"",N(V130),(IF(E130="농지",3,4)-2)*0.2)/100,10))</f>
        <v/>
      </c>
      <c r="AF130" s="7">
        <f>IF(N130="","",ROUND(N130*N(O130)/100*N(P130)/12,0))</f>
        <v/>
      </c>
      <c r="AG130" s="7">
        <f>IF(I130="","",I130+AC130+AD130+AE130+N(K130)+N(L130)+N(M130)+N(Q130)+N(AF130))</f>
        <v/>
      </c>
      <c r="AH130" s="7">
        <f>IF(OR(R130="",S130=""),"",ROUND(R130*S130/100,0))</f>
        <v/>
      </c>
      <c r="AI130" s="7">
        <f>IF(OR(AG130="",R130=""),"",R130-N(AH130)-AG130)</f>
        <v/>
      </c>
      <c r="AJ130" s="6">
        <f>IF(AI130="","",ROUND(AI130/AG130*100,1))</f>
        <v/>
      </c>
    </row>
    <row r="131">
      <c r="A131" s="3" t="n"/>
      <c r="B131" s="3" t="n"/>
      <c r="C131" s="4" t="n"/>
      <c r="D131" s="3" t="n"/>
      <c r="E131" s="3" t="n"/>
      <c r="F131" s="3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3" t="n"/>
      <c r="P131" s="3" t="n"/>
      <c r="Q131" s="5" t="n"/>
      <c r="R131" s="5" t="n"/>
      <c r="S131" s="3" t="n"/>
      <c r="T131" s="3" t="n"/>
      <c r="U131" s="3" t="n"/>
      <c r="V131" s="3" t="n"/>
      <c r="W131" s="3" t="n"/>
      <c r="X131" s="3" t="n"/>
      <c r="Y131" s="3" t="n"/>
      <c r="Z131" s="6">
        <f>IF(F131="","",ROUND(F131/3.305785,1))</f>
        <v/>
      </c>
      <c r="AA131" s="6">
        <f>IF(OR(G131="",I131=""),"",ROUND(I131/G131*100,1))</f>
        <v/>
      </c>
      <c r="AB131" s="7">
        <f>IF(OR(Z131="",I131=""),"",ROUND(I131/Z131,0))</f>
        <v/>
      </c>
      <c r="AC131" s="7">
        <f>IF(I131="","",FLOOR(I131*IF(T131&lt;&gt;"",T131,IF(E131="농지",3,4))/100,10))</f>
        <v/>
      </c>
      <c r="AD131" s="7">
        <f>IF(I131="","",FLOOR(I131*IF(T131&lt;&gt;"",N(U131),0.2)/100,10))</f>
        <v/>
      </c>
      <c r="AE131" s="7">
        <f>IF(I131="","",FLOOR(I131*IF(T131&lt;&gt;"",N(V131),(IF(E131="농지",3,4)-2)*0.2)/100,10))</f>
        <v/>
      </c>
      <c r="AF131" s="7">
        <f>IF(N131="","",ROUND(N131*N(O131)/100*N(P131)/12,0))</f>
        <v/>
      </c>
      <c r="AG131" s="7">
        <f>IF(I131="","",I131+AC131+AD131+AE131+N(K131)+N(L131)+N(M131)+N(Q131)+N(AF131))</f>
        <v/>
      </c>
      <c r="AH131" s="7">
        <f>IF(OR(R131="",S131=""),"",ROUND(R131*S131/100,0))</f>
        <v/>
      </c>
      <c r="AI131" s="7">
        <f>IF(OR(AG131="",R131=""),"",R131-N(AH131)-AG131)</f>
        <v/>
      </c>
      <c r="AJ131" s="6">
        <f>IF(AI131="","",ROUND(AI131/AG131*100,1))</f>
        <v/>
      </c>
    </row>
    <row r="132">
      <c r="A132" s="3" t="n"/>
      <c r="B132" s="3" t="n"/>
      <c r="C132" s="4" t="n"/>
      <c r="D132" s="3" t="n"/>
      <c r="E132" s="3" t="n"/>
      <c r="F132" s="3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3" t="n"/>
      <c r="P132" s="3" t="n"/>
      <c r="Q132" s="5" t="n"/>
      <c r="R132" s="5" t="n"/>
      <c r="S132" s="3" t="n"/>
      <c r="T132" s="3" t="n"/>
      <c r="U132" s="3" t="n"/>
      <c r="V132" s="3" t="n"/>
      <c r="W132" s="3" t="n"/>
      <c r="X132" s="3" t="n"/>
      <c r="Y132" s="3" t="n"/>
      <c r="Z132" s="6">
        <f>IF(F132="","",ROUND(F132/3.305785,1))</f>
        <v/>
      </c>
      <c r="AA132" s="6">
        <f>IF(OR(G132="",I132=""),"",ROUND(I132/G132*100,1))</f>
        <v/>
      </c>
      <c r="AB132" s="7">
        <f>IF(OR(Z132="",I132=""),"",ROUND(I132/Z132,0))</f>
        <v/>
      </c>
      <c r="AC132" s="7">
        <f>IF(I132="","",FLOOR(I132*IF(T132&lt;&gt;"",T132,IF(E132="농지",3,4))/100,10))</f>
        <v/>
      </c>
      <c r="AD132" s="7">
        <f>IF(I132="","",FLOOR(I132*IF(T132&lt;&gt;"",N(U132),0.2)/100,10))</f>
        <v/>
      </c>
      <c r="AE132" s="7">
        <f>IF(I132="","",FLOOR(I132*IF(T132&lt;&gt;"",N(V132),(IF(E132="농지",3,4)-2)*0.2)/100,10))</f>
        <v/>
      </c>
      <c r="AF132" s="7">
        <f>IF(N132="","",ROUND(N132*N(O132)/100*N(P132)/12,0))</f>
        <v/>
      </c>
      <c r="AG132" s="7">
        <f>IF(I132="","",I132+AC132+AD132+AE132+N(K132)+N(L132)+N(M132)+N(Q132)+N(AF132))</f>
        <v/>
      </c>
      <c r="AH132" s="7">
        <f>IF(OR(R132="",S132=""),"",ROUND(R132*S132/100,0))</f>
        <v/>
      </c>
      <c r="AI132" s="7">
        <f>IF(OR(AG132="",R132=""),"",R132-N(AH132)-AG132)</f>
        <v/>
      </c>
      <c r="AJ132" s="6">
        <f>IF(AI132="","",ROUND(AI132/AG132*100,1))</f>
        <v/>
      </c>
    </row>
    <row r="133">
      <c r="A133" s="3" t="n"/>
      <c r="B133" s="3" t="n"/>
      <c r="C133" s="4" t="n"/>
      <c r="D133" s="3" t="n"/>
      <c r="E133" s="3" t="n"/>
      <c r="F133" s="3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3" t="n"/>
      <c r="P133" s="3" t="n"/>
      <c r="Q133" s="5" t="n"/>
      <c r="R133" s="5" t="n"/>
      <c r="S133" s="3" t="n"/>
      <c r="T133" s="3" t="n"/>
      <c r="U133" s="3" t="n"/>
      <c r="V133" s="3" t="n"/>
      <c r="W133" s="3" t="n"/>
      <c r="X133" s="3" t="n"/>
      <c r="Y133" s="3" t="n"/>
      <c r="Z133" s="6">
        <f>IF(F133="","",ROUND(F133/3.305785,1))</f>
        <v/>
      </c>
      <c r="AA133" s="6">
        <f>IF(OR(G133="",I133=""),"",ROUND(I133/G133*100,1))</f>
        <v/>
      </c>
      <c r="AB133" s="7">
        <f>IF(OR(Z133="",I133=""),"",ROUND(I133/Z133,0))</f>
        <v/>
      </c>
      <c r="AC133" s="7">
        <f>IF(I133="","",FLOOR(I133*IF(T133&lt;&gt;"",T133,IF(E133="농지",3,4))/100,10))</f>
        <v/>
      </c>
      <c r="AD133" s="7">
        <f>IF(I133="","",FLOOR(I133*IF(T133&lt;&gt;"",N(U133),0.2)/100,10))</f>
        <v/>
      </c>
      <c r="AE133" s="7">
        <f>IF(I133="","",FLOOR(I133*IF(T133&lt;&gt;"",N(V133),(IF(E133="농지",3,4)-2)*0.2)/100,10))</f>
        <v/>
      </c>
      <c r="AF133" s="7">
        <f>IF(N133="","",ROUND(N133*N(O133)/100*N(P133)/12,0))</f>
        <v/>
      </c>
      <c r="AG133" s="7">
        <f>IF(I133="","",I133+AC133+AD133+AE133+N(K133)+N(L133)+N(M133)+N(Q133)+N(AF133))</f>
        <v/>
      </c>
      <c r="AH133" s="7">
        <f>IF(OR(R133="",S133=""),"",ROUND(R133*S133/100,0))</f>
        <v/>
      </c>
      <c r="AI133" s="7">
        <f>IF(OR(AG133="",R133=""),"",R133-N(AH133)-AG133)</f>
        <v/>
      </c>
      <c r="AJ133" s="6">
        <f>IF(AI133="","",ROUND(AI133/AG133*100,1))</f>
        <v/>
      </c>
    </row>
    <row r="134">
      <c r="A134" s="3" t="n"/>
      <c r="B134" s="3" t="n"/>
      <c r="C134" s="4" t="n"/>
      <c r="D134" s="3" t="n"/>
      <c r="E134" s="3" t="n"/>
      <c r="F134" s="3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3" t="n"/>
      <c r="P134" s="3" t="n"/>
      <c r="Q134" s="5" t="n"/>
      <c r="R134" s="5" t="n"/>
      <c r="S134" s="3" t="n"/>
      <c r="T134" s="3" t="n"/>
      <c r="U134" s="3" t="n"/>
      <c r="V134" s="3" t="n"/>
      <c r="W134" s="3" t="n"/>
      <c r="X134" s="3" t="n"/>
      <c r="Y134" s="3" t="n"/>
      <c r="Z134" s="6">
        <f>IF(F134="","",ROUND(F134/3.305785,1))</f>
        <v/>
      </c>
      <c r="AA134" s="6">
        <f>IF(OR(G134="",I134=""),"",ROUND(I134/G134*100,1))</f>
        <v/>
      </c>
      <c r="AB134" s="7">
        <f>IF(OR(Z134="",I134=""),"",ROUND(I134/Z134,0))</f>
        <v/>
      </c>
      <c r="AC134" s="7">
        <f>IF(I134="","",FLOOR(I134*IF(T134&lt;&gt;"",T134,IF(E134="농지",3,4))/100,10))</f>
        <v/>
      </c>
      <c r="AD134" s="7">
        <f>IF(I134="","",FLOOR(I134*IF(T134&lt;&gt;"",N(U134),0.2)/100,10))</f>
        <v/>
      </c>
      <c r="AE134" s="7">
        <f>IF(I134="","",FLOOR(I134*IF(T134&lt;&gt;"",N(V134),(IF(E134="농지",3,4)-2)*0.2)/100,10))</f>
        <v/>
      </c>
      <c r="AF134" s="7">
        <f>IF(N134="","",ROUND(N134*N(O134)/100*N(P134)/12,0))</f>
        <v/>
      </c>
      <c r="AG134" s="7">
        <f>IF(I134="","",I134+AC134+AD134+AE134+N(K134)+N(L134)+N(M134)+N(Q134)+N(AF134))</f>
        <v/>
      </c>
      <c r="AH134" s="7">
        <f>IF(OR(R134="",S134=""),"",ROUND(R134*S134/100,0))</f>
        <v/>
      </c>
      <c r="AI134" s="7">
        <f>IF(OR(AG134="",R134=""),"",R134-N(AH134)-AG134)</f>
        <v/>
      </c>
      <c r="AJ134" s="6">
        <f>IF(AI134="","",ROUND(AI134/AG134*100,1))</f>
        <v/>
      </c>
    </row>
    <row r="135">
      <c r="A135" s="3" t="n"/>
      <c r="B135" s="3" t="n"/>
      <c r="C135" s="4" t="n"/>
      <c r="D135" s="3" t="n"/>
      <c r="E135" s="3" t="n"/>
      <c r="F135" s="3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3" t="n"/>
      <c r="P135" s="3" t="n"/>
      <c r="Q135" s="5" t="n"/>
      <c r="R135" s="5" t="n"/>
      <c r="S135" s="3" t="n"/>
      <c r="T135" s="3" t="n"/>
      <c r="U135" s="3" t="n"/>
      <c r="V135" s="3" t="n"/>
      <c r="W135" s="3" t="n"/>
      <c r="X135" s="3" t="n"/>
      <c r="Y135" s="3" t="n"/>
      <c r="Z135" s="6">
        <f>IF(F135="","",ROUND(F135/3.305785,1))</f>
        <v/>
      </c>
      <c r="AA135" s="6">
        <f>IF(OR(G135="",I135=""),"",ROUND(I135/G135*100,1))</f>
        <v/>
      </c>
      <c r="AB135" s="7">
        <f>IF(OR(Z135="",I135=""),"",ROUND(I135/Z135,0))</f>
        <v/>
      </c>
      <c r="AC135" s="7">
        <f>IF(I135="","",FLOOR(I135*IF(T135&lt;&gt;"",T135,IF(E135="농지",3,4))/100,10))</f>
        <v/>
      </c>
      <c r="AD135" s="7">
        <f>IF(I135="","",FLOOR(I135*IF(T135&lt;&gt;"",N(U135),0.2)/100,10))</f>
        <v/>
      </c>
      <c r="AE135" s="7">
        <f>IF(I135="","",FLOOR(I135*IF(T135&lt;&gt;"",N(V135),(IF(E135="농지",3,4)-2)*0.2)/100,10))</f>
        <v/>
      </c>
      <c r="AF135" s="7">
        <f>IF(N135="","",ROUND(N135*N(O135)/100*N(P135)/12,0))</f>
        <v/>
      </c>
      <c r="AG135" s="7">
        <f>IF(I135="","",I135+AC135+AD135+AE135+N(K135)+N(L135)+N(M135)+N(Q135)+N(AF135))</f>
        <v/>
      </c>
      <c r="AH135" s="7">
        <f>IF(OR(R135="",S135=""),"",ROUND(R135*S135/100,0))</f>
        <v/>
      </c>
      <c r="AI135" s="7">
        <f>IF(OR(AG135="",R135=""),"",R135-N(AH135)-AG135)</f>
        <v/>
      </c>
      <c r="AJ135" s="6">
        <f>IF(AI135="","",ROUND(AI135/AG135*100,1))</f>
        <v/>
      </c>
    </row>
    <row r="136">
      <c r="A136" s="3" t="n"/>
      <c r="B136" s="3" t="n"/>
      <c r="C136" s="4" t="n"/>
      <c r="D136" s="3" t="n"/>
      <c r="E136" s="3" t="n"/>
      <c r="F136" s="3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3" t="n"/>
      <c r="P136" s="3" t="n"/>
      <c r="Q136" s="5" t="n"/>
      <c r="R136" s="5" t="n"/>
      <c r="S136" s="3" t="n"/>
      <c r="T136" s="3" t="n"/>
      <c r="U136" s="3" t="n"/>
      <c r="V136" s="3" t="n"/>
      <c r="W136" s="3" t="n"/>
      <c r="X136" s="3" t="n"/>
      <c r="Y136" s="3" t="n"/>
      <c r="Z136" s="6">
        <f>IF(F136="","",ROUND(F136/3.305785,1))</f>
        <v/>
      </c>
      <c r="AA136" s="6">
        <f>IF(OR(G136="",I136=""),"",ROUND(I136/G136*100,1))</f>
        <v/>
      </c>
      <c r="AB136" s="7">
        <f>IF(OR(Z136="",I136=""),"",ROUND(I136/Z136,0))</f>
        <v/>
      </c>
      <c r="AC136" s="7">
        <f>IF(I136="","",FLOOR(I136*IF(T136&lt;&gt;"",T136,IF(E136="농지",3,4))/100,10))</f>
        <v/>
      </c>
      <c r="AD136" s="7">
        <f>IF(I136="","",FLOOR(I136*IF(T136&lt;&gt;"",N(U136),0.2)/100,10))</f>
        <v/>
      </c>
      <c r="AE136" s="7">
        <f>IF(I136="","",FLOOR(I136*IF(T136&lt;&gt;"",N(V136),(IF(E136="농지",3,4)-2)*0.2)/100,10))</f>
        <v/>
      </c>
      <c r="AF136" s="7">
        <f>IF(N136="","",ROUND(N136*N(O136)/100*N(P136)/12,0))</f>
        <v/>
      </c>
      <c r="AG136" s="7">
        <f>IF(I136="","",I136+AC136+AD136+AE136+N(K136)+N(L136)+N(M136)+N(Q136)+N(AF136))</f>
        <v/>
      </c>
      <c r="AH136" s="7">
        <f>IF(OR(R136="",S136=""),"",ROUND(R136*S136/100,0))</f>
        <v/>
      </c>
      <c r="AI136" s="7">
        <f>IF(OR(AG136="",R136=""),"",R136-N(AH136)-AG136)</f>
        <v/>
      </c>
      <c r="AJ136" s="6">
        <f>IF(AI136="","",ROUND(AI136/AG136*100,1))</f>
        <v/>
      </c>
    </row>
    <row r="137">
      <c r="A137" s="3" t="n"/>
      <c r="B137" s="3" t="n"/>
      <c r="C137" s="4" t="n"/>
      <c r="D137" s="3" t="n"/>
      <c r="E137" s="3" t="n"/>
      <c r="F137" s="3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3" t="n"/>
      <c r="P137" s="3" t="n"/>
      <c r="Q137" s="5" t="n"/>
      <c r="R137" s="5" t="n"/>
      <c r="S137" s="3" t="n"/>
      <c r="T137" s="3" t="n"/>
      <c r="U137" s="3" t="n"/>
      <c r="V137" s="3" t="n"/>
      <c r="W137" s="3" t="n"/>
      <c r="X137" s="3" t="n"/>
      <c r="Y137" s="3" t="n"/>
      <c r="Z137" s="6">
        <f>IF(F137="","",ROUND(F137/3.305785,1))</f>
        <v/>
      </c>
      <c r="AA137" s="6">
        <f>IF(OR(G137="",I137=""),"",ROUND(I137/G137*100,1))</f>
        <v/>
      </c>
      <c r="AB137" s="7">
        <f>IF(OR(Z137="",I137=""),"",ROUND(I137/Z137,0))</f>
        <v/>
      </c>
      <c r="AC137" s="7">
        <f>IF(I137="","",FLOOR(I137*IF(T137&lt;&gt;"",T137,IF(E137="농지",3,4))/100,10))</f>
        <v/>
      </c>
      <c r="AD137" s="7">
        <f>IF(I137="","",FLOOR(I137*IF(T137&lt;&gt;"",N(U137),0.2)/100,10))</f>
        <v/>
      </c>
      <c r="AE137" s="7">
        <f>IF(I137="","",FLOOR(I137*IF(T137&lt;&gt;"",N(V137),(IF(E137="농지",3,4)-2)*0.2)/100,10))</f>
        <v/>
      </c>
      <c r="AF137" s="7">
        <f>IF(N137="","",ROUND(N137*N(O137)/100*N(P137)/12,0))</f>
        <v/>
      </c>
      <c r="AG137" s="7">
        <f>IF(I137="","",I137+AC137+AD137+AE137+N(K137)+N(L137)+N(M137)+N(Q137)+N(AF137))</f>
        <v/>
      </c>
      <c r="AH137" s="7">
        <f>IF(OR(R137="",S137=""),"",ROUND(R137*S137/100,0))</f>
        <v/>
      </c>
      <c r="AI137" s="7">
        <f>IF(OR(AG137="",R137=""),"",R137-N(AH137)-AG137)</f>
        <v/>
      </c>
      <c r="AJ137" s="6">
        <f>IF(AI137="","",ROUND(AI137/AG137*100,1))</f>
        <v/>
      </c>
    </row>
    <row r="138">
      <c r="A138" s="3" t="n"/>
      <c r="B138" s="3" t="n"/>
      <c r="C138" s="4" t="n"/>
      <c r="D138" s="3" t="n"/>
      <c r="E138" s="3" t="n"/>
      <c r="F138" s="3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3" t="n"/>
      <c r="P138" s="3" t="n"/>
      <c r="Q138" s="5" t="n"/>
      <c r="R138" s="5" t="n"/>
      <c r="S138" s="3" t="n"/>
      <c r="T138" s="3" t="n"/>
      <c r="U138" s="3" t="n"/>
      <c r="V138" s="3" t="n"/>
      <c r="W138" s="3" t="n"/>
      <c r="X138" s="3" t="n"/>
      <c r="Y138" s="3" t="n"/>
      <c r="Z138" s="6">
        <f>IF(F138="","",ROUND(F138/3.305785,1))</f>
        <v/>
      </c>
      <c r="AA138" s="6">
        <f>IF(OR(G138="",I138=""),"",ROUND(I138/G138*100,1))</f>
        <v/>
      </c>
      <c r="AB138" s="7">
        <f>IF(OR(Z138="",I138=""),"",ROUND(I138/Z138,0))</f>
        <v/>
      </c>
      <c r="AC138" s="7">
        <f>IF(I138="","",FLOOR(I138*IF(T138&lt;&gt;"",T138,IF(E138="농지",3,4))/100,10))</f>
        <v/>
      </c>
      <c r="AD138" s="7">
        <f>IF(I138="","",FLOOR(I138*IF(T138&lt;&gt;"",N(U138),0.2)/100,10))</f>
        <v/>
      </c>
      <c r="AE138" s="7">
        <f>IF(I138="","",FLOOR(I138*IF(T138&lt;&gt;"",N(V138),(IF(E138="농지",3,4)-2)*0.2)/100,10))</f>
        <v/>
      </c>
      <c r="AF138" s="7">
        <f>IF(N138="","",ROUND(N138*N(O138)/100*N(P138)/12,0))</f>
        <v/>
      </c>
      <c r="AG138" s="7">
        <f>IF(I138="","",I138+AC138+AD138+AE138+N(K138)+N(L138)+N(M138)+N(Q138)+N(AF138))</f>
        <v/>
      </c>
      <c r="AH138" s="7">
        <f>IF(OR(R138="",S138=""),"",ROUND(R138*S138/100,0))</f>
        <v/>
      </c>
      <c r="AI138" s="7">
        <f>IF(OR(AG138="",R138=""),"",R138-N(AH138)-AG138)</f>
        <v/>
      </c>
      <c r="AJ138" s="6">
        <f>IF(AI138="","",ROUND(AI138/AG138*100,1))</f>
        <v/>
      </c>
    </row>
    <row r="139">
      <c r="A139" s="3" t="n"/>
      <c r="B139" s="3" t="n"/>
      <c r="C139" s="4" t="n"/>
      <c r="D139" s="3" t="n"/>
      <c r="E139" s="3" t="n"/>
      <c r="F139" s="3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3" t="n"/>
      <c r="P139" s="3" t="n"/>
      <c r="Q139" s="5" t="n"/>
      <c r="R139" s="5" t="n"/>
      <c r="S139" s="3" t="n"/>
      <c r="T139" s="3" t="n"/>
      <c r="U139" s="3" t="n"/>
      <c r="V139" s="3" t="n"/>
      <c r="W139" s="3" t="n"/>
      <c r="X139" s="3" t="n"/>
      <c r="Y139" s="3" t="n"/>
      <c r="Z139" s="6">
        <f>IF(F139="","",ROUND(F139/3.305785,1))</f>
        <v/>
      </c>
      <c r="AA139" s="6">
        <f>IF(OR(G139="",I139=""),"",ROUND(I139/G139*100,1))</f>
        <v/>
      </c>
      <c r="AB139" s="7">
        <f>IF(OR(Z139="",I139=""),"",ROUND(I139/Z139,0))</f>
        <v/>
      </c>
      <c r="AC139" s="7">
        <f>IF(I139="","",FLOOR(I139*IF(T139&lt;&gt;"",T139,IF(E139="농지",3,4))/100,10))</f>
        <v/>
      </c>
      <c r="AD139" s="7">
        <f>IF(I139="","",FLOOR(I139*IF(T139&lt;&gt;"",N(U139),0.2)/100,10))</f>
        <v/>
      </c>
      <c r="AE139" s="7">
        <f>IF(I139="","",FLOOR(I139*IF(T139&lt;&gt;"",N(V139),(IF(E139="농지",3,4)-2)*0.2)/100,10))</f>
        <v/>
      </c>
      <c r="AF139" s="7">
        <f>IF(N139="","",ROUND(N139*N(O139)/100*N(P139)/12,0))</f>
        <v/>
      </c>
      <c r="AG139" s="7">
        <f>IF(I139="","",I139+AC139+AD139+AE139+N(K139)+N(L139)+N(M139)+N(Q139)+N(AF139))</f>
        <v/>
      </c>
      <c r="AH139" s="7">
        <f>IF(OR(R139="",S139=""),"",ROUND(R139*S139/100,0))</f>
        <v/>
      </c>
      <c r="AI139" s="7">
        <f>IF(OR(AG139="",R139=""),"",R139-N(AH139)-AG139)</f>
        <v/>
      </c>
      <c r="AJ139" s="6">
        <f>IF(AI139="","",ROUND(AI139/AG139*100,1))</f>
        <v/>
      </c>
    </row>
    <row r="140">
      <c r="A140" s="3" t="n"/>
      <c r="B140" s="3" t="n"/>
      <c r="C140" s="4" t="n"/>
      <c r="D140" s="3" t="n"/>
      <c r="E140" s="3" t="n"/>
      <c r="F140" s="3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3" t="n"/>
      <c r="P140" s="3" t="n"/>
      <c r="Q140" s="5" t="n"/>
      <c r="R140" s="5" t="n"/>
      <c r="S140" s="3" t="n"/>
      <c r="T140" s="3" t="n"/>
      <c r="U140" s="3" t="n"/>
      <c r="V140" s="3" t="n"/>
      <c r="W140" s="3" t="n"/>
      <c r="X140" s="3" t="n"/>
      <c r="Y140" s="3" t="n"/>
      <c r="Z140" s="6">
        <f>IF(F140="","",ROUND(F140/3.305785,1))</f>
        <v/>
      </c>
      <c r="AA140" s="6">
        <f>IF(OR(G140="",I140=""),"",ROUND(I140/G140*100,1))</f>
        <v/>
      </c>
      <c r="AB140" s="7">
        <f>IF(OR(Z140="",I140=""),"",ROUND(I140/Z140,0))</f>
        <v/>
      </c>
      <c r="AC140" s="7">
        <f>IF(I140="","",FLOOR(I140*IF(T140&lt;&gt;"",T140,IF(E140="농지",3,4))/100,10))</f>
        <v/>
      </c>
      <c r="AD140" s="7">
        <f>IF(I140="","",FLOOR(I140*IF(T140&lt;&gt;"",N(U140),0.2)/100,10))</f>
        <v/>
      </c>
      <c r="AE140" s="7">
        <f>IF(I140="","",FLOOR(I140*IF(T140&lt;&gt;"",N(V140),(IF(E140="농지",3,4)-2)*0.2)/100,10))</f>
        <v/>
      </c>
      <c r="AF140" s="7">
        <f>IF(N140="","",ROUND(N140*N(O140)/100*N(P140)/12,0))</f>
        <v/>
      </c>
      <c r="AG140" s="7">
        <f>IF(I140="","",I140+AC140+AD140+AE140+N(K140)+N(L140)+N(M140)+N(Q140)+N(AF140))</f>
        <v/>
      </c>
      <c r="AH140" s="7">
        <f>IF(OR(R140="",S140=""),"",ROUND(R140*S140/100,0))</f>
        <v/>
      </c>
      <c r="AI140" s="7">
        <f>IF(OR(AG140="",R140=""),"",R140-N(AH140)-AG140)</f>
        <v/>
      </c>
      <c r="AJ140" s="6">
        <f>IF(AI140="","",ROUND(AI140/AG140*100,1))</f>
        <v/>
      </c>
    </row>
    <row r="141">
      <c r="A141" s="3" t="n"/>
      <c r="B141" s="3" t="n"/>
      <c r="C141" s="4" t="n"/>
      <c r="D141" s="3" t="n"/>
      <c r="E141" s="3" t="n"/>
      <c r="F141" s="3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3" t="n"/>
      <c r="P141" s="3" t="n"/>
      <c r="Q141" s="5" t="n"/>
      <c r="R141" s="5" t="n"/>
      <c r="S141" s="3" t="n"/>
      <c r="T141" s="3" t="n"/>
      <c r="U141" s="3" t="n"/>
      <c r="V141" s="3" t="n"/>
      <c r="W141" s="3" t="n"/>
      <c r="X141" s="3" t="n"/>
      <c r="Y141" s="3" t="n"/>
      <c r="Z141" s="6">
        <f>IF(F141="","",ROUND(F141/3.305785,1))</f>
        <v/>
      </c>
      <c r="AA141" s="6">
        <f>IF(OR(G141="",I141=""),"",ROUND(I141/G141*100,1))</f>
        <v/>
      </c>
      <c r="AB141" s="7">
        <f>IF(OR(Z141="",I141=""),"",ROUND(I141/Z141,0))</f>
        <v/>
      </c>
      <c r="AC141" s="7">
        <f>IF(I141="","",FLOOR(I141*IF(T141&lt;&gt;"",T141,IF(E141="농지",3,4))/100,10))</f>
        <v/>
      </c>
      <c r="AD141" s="7">
        <f>IF(I141="","",FLOOR(I141*IF(T141&lt;&gt;"",N(U141),0.2)/100,10))</f>
        <v/>
      </c>
      <c r="AE141" s="7">
        <f>IF(I141="","",FLOOR(I141*IF(T141&lt;&gt;"",N(V141),(IF(E141="농지",3,4)-2)*0.2)/100,10))</f>
        <v/>
      </c>
      <c r="AF141" s="7">
        <f>IF(N141="","",ROUND(N141*N(O141)/100*N(P141)/12,0))</f>
        <v/>
      </c>
      <c r="AG141" s="7">
        <f>IF(I141="","",I141+AC141+AD141+AE141+N(K141)+N(L141)+N(M141)+N(Q141)+N(AF141))</f>
        <v/>
      </c>
      <c r="AH141" s="7">
        <f>IF(OR(R141="",S141=""),"",ROUND(R141*S141/100,0))</f>
        <v/>
      </c>
      <c r="AI141" s="7">
        <f>IF(OR(AG141="",R141=""),"",R141-N(AH141)-AG141)</f>
        <v/>
      </c>
      <c r="AJ141" s="6">
        <f>IF(AI141="","",ROUND(AI141/AG141*100,1))</f>
        <v/>
      </c>
    </row>
    <row r="142">
      <c r="A142" s="3" t="n"/>
      <c r="B142" s="3" t="n"/>
      <c r="C142" s="4" t="n"/>
      <c r="D142" s="3" t="n"/>
      <c r="E142" s="3" t="n"/>
      <c r="F142" s="3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3" t="n"/>
      <c r="P142" s="3" t="n"/>
      <c r="Q142" s="5" t="n"/>
      <c r="R142" s="5" t="n"/>
      <c r="S142" s="3" t="n"/>
      <c r="T142" s="3" t="n"/>
      <c r="U142" s="3" t="n"/>
      <c r="V142" s="3" t="n"/>
      <c r="W142" s="3" t="n"/>
      <c r="X142" s="3" t="n"/>
      <c r="Y142" s="3" t="n"/>
      <c r="Z142" s="6">
        <f>IF(F142="","",ROUND(F142/3.305785,1))</f>
        <v/>
      </c>
      <c r="AA142" s="6">
        <f>IF(OR(G142="",I142=""),"",ROUND(I142/G142*100,1))</f>
        <v/>
      </c>
      <c r="AB142" s="7">
        <f>IF(OR(Z142="",I142=""),"",ROUND(I142/Z142,0))</f>
        <v/>
      </c>
      <c r="AC142" s="7">
        <f>IF(I142="","",FLOOR(I142*IF(T142&lt;&gt;"",T142,IF(E142="농지",3,4))/100,10))</f>
        <v/>
      </c>
      <c r="AD142" s="7">
        <f>IF(I142="","",FLOOR(I142*IF(T142&lt;&gt;"",N(U142),0.2)/100,10))</f>
        <v/>
      </c>
      <c r="AE142" s="7">
        <f>IF(I142="","",FLOOR(I142*IF(T142&lt;&gt;"",N(V142),(IF(E142="농지",3,4)-2)*0.2)/100,10))</f>
        <v/>
      </c>
      <c r="AF142" s="7">
        <f>IF(N142="","",ROUND(N142*N(O142)/100*N(P142)/12,0))</f>
        <v/>
      </c>
      <c r="AG142" s="7">
        <f>IF(I142="","",I142+AC142+AD142+AE142+N(K142)+N(L142)+N(M142)+N(Q142)+N(AF142))</f>
        <v/>
      </c>
      <c r="AH142" s="7">
        <f>IF(OR(R142="",S142=""),"",ROUND(R142*S142/100,0))</f>
        <v/>
      </c>
      <c r="AI142" s="7">
        <f>IF(OR(AG142="",R142=""),"",R142-N(AH142)-AG142)</f>
        <v/>
      </c>
      <c r="AJ142" s="6">
        <f>IF(AI142="","",ROUND(AI142/AG142*100,1))</f>
        <v/>
      </c>
    </row>
    <row r="143">
      <c r="A143" s="3" t="n"/>
      <c r="B143" s="3" t="n"/>
      <c r="C143" s="4" t="n"/>
      <c r="D143" s="3" t="n"/>
      <c r="E143" s="3" t="n"/>
      <c r="F143" s="3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3" t="n"/>
      <c r="P143" s="3" t="n"/>
      <c r="Q143" s="5" t="n"/>
      <c r="R143" s="5" t="n"/>
      <c r="S143" s="3" t="n"/>
      <c r="T143" s="3" t="n"/>
      <c r="U143" s="3" t="n"/>
      <c r="V143" s="3" t="n"/>
      <c r="W143" s="3" t="n"/>
      <c r="X143" s="3" t="n"/>
      <c r="Y143" s="3" t="n"/>
      <c r="Z143" s="6">
        <f>IF(F143="","",ROUND(F143/3.305785,1))</f>
        <v/>
      </c>
      <c r="AA143" s="6">
        <f>IF(OR(G143="",I143=""),"",ROUND(I143/G143*100,1))</f>
        <v/>
      </c>
      <c r="AB143" s="7">
        <f>IF(OR(Z143="",I143=""),"",ROUND(I143/Z143,0))</f>
        <v/>
      </c>
      <c r="AC143" s="7">
        <f>IF(I143="","",FLOOR(I143*IF(T143&lt;&gt;"",T143,IF(E143="농지",3,4))/100,10))</f>
        <v/>
      </c>
      <c r="AD143" s="7">
        <f>IF(I143="","",FLOOR(I143*IF(T143&lt;&gt;"",N(U143),0.2)/100,10))</f>
        <v/>
      </c>
      <c r="AE143" s="7">
        <f>IF(I143="","",FLOOR(I143*IF(T143&lt;&gt;"",N(V143),(IF(E143="농지",3,4)-2)*0.2)/100,10))</f>
        <v/>
      </c>
      <c r="AF143" s="7">
        <f>IF(N143="","",ROUND(N143*N(O143)/100*N(P143)/12,0))</f>
        <v/>
      </c>
      <c r="AG143" s="7">
        <f>IF(I143="","",I143+AC143+AD143+AE143+N(K143)+N(L143)+N(M143)+N(Q143)+N(AF143))</f>
        <v/>
      </c>
      <c r="AH143" s="7">
        <f>IF(OR(R143="",S143=""),"",ROUND(R143*S143/100,0))</f>
        <v/>
      </c>
      <c r="AI143" s="7">
        <f>IF(OR(AG143="",R143=""),"",R143-N(AH143)-AG143)</f>
        <v/>
      </c>
      <c r="AJ143" s="6">
        <f>IF(AI143="","",ROUND(AI143/AG143*100,1))</f>
        <v/>
      </c>
    </row>
    <row r="144">
      <c r="A144" s="3" t="n"/>
      <c r="B144" s="3" t="n"/>
      <c r="C144" s="4" t="n"/>
      <c r="D144" s="3" t="n"/>
      <c r="E144" s="3" t="n"/>
      <c r="F144" s="3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3" t="n"/>
      <c r="P144" s="3" t="n"/>
      <c r="Q144" s="5" t="n"/>
      <c r="R144" s="5" t="n"/>
      <c r="S144" s="3" t="n"/>
      <c r="T144" s="3" t="n"/>
      <c r="U144" s="3" t="n"/>
      <c r="V144" s="3" t="n"/>
      <c r="W144" s="3" t="n"/>
      <c r="X144" s="3" t="n"/>
      <c r="Y144" s="3" t="n"/>
      <c r="Z144" s="6">
        <f>IF(F144="","",ROUND(F144/3.305785,1))</f>
        <v/>
      </c>
      <c r="AA144" s="6">
        <f>IF(OR(G144="",I144=""),"",ROUND(I144/G144*100,1))</f>
        <v/>
      </c>
      <c r="AB144" s="7">
        <f>IF(OR(Z144="",I144=""),"",ROUND(I144/Z144,0))</f>
        <v/>
      </c>
      <c r="AC144" s="7">
        <f>IF(I144="","",FLOOR(I144*IF(T144&lt;&gt;"",T144,IF(E144="농지",3,4))/100,10))</f>
        <v/>
      </c>
      <c r="AD144" s="7">
        <f>IF(I144="","",FLOOR(I144*IF(T144&lt;&gt;"",N(U144),0.2)/100,10))</f>
        <v/>
      </c>
      <c r="AE144" s="7">
        <f>IF(I144="","",FLOOR(I144*IF(T144&lt;&gt;"",N(V144),(IF(E144="농지",3,4)-2)*0.2)/100,10))</f>
        <v/>
      </c>
      <c r="AF144" s="7">
        <f>IF(N144="","",ROUND(N144*N(O144)/100*N(P144)/12,0))</f>
        <v/>
      </c>
      <c r="AG144" s="7">
        <f>IF(I144="","",I144+AC144+AD144+AE144+N(K144)+N(L144)+N(M144)+N(Q144)+N(AF144))</f>
        <v/>
      </c>
      <c r="AH144" s="7">
        <f>IF(OR(R144="",S144=""),"",ROUND(R144*S144/100,0))</f>
        <v/>
      </c>
      <c r="AI144" s="7">
        <f>IF(OR(AG144="",R144=""),"",R144-N(AH144)-AG144)</f>
        <v/>
      </c>
      <c r="AJ144" s="6">
        <f>IF(AI144="","",ROUND(AI144/AG144*100,1))</f>
        <v/>
      </c>
    </row>
    <row r="145">
      <c r="A145" s="3" t="n"/>
      <c r="B145" s="3" t="n"/>
      <c r="C145" s="4" t="n"/>
      <c r="D145" s="3" t="n"/>
      <c r="E145" s="3" t="n"/>
      <c r="F145" s="3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3" t="n"/>
      <c r="P145" s="3" t="n"/>
      <c r="Q145" s="5" t="n"/>
      <c r="R145" s="5" t="n"/>
      <c r="S145" s="3" t="n"/>
      <c r="T145" s="3" t="n"/>
      <c r="U145" s="3" t="n"/>
      <c r="V145" s="3" t="n"/>
      <c r="W145" s="3" t="n"/>
      <c r="X145" s="3" t="n"/>
      <c r="Y145" s="3" t="n"/>
      <c r="Z145" s="6">
        <f>IF(F145="","",ROUND(F145/3.305785,1))</f>
        <v/>
      </c>
      <c r="AA145" s="6">
        <f>IF(OR(G145="",I145=""),"",ROUND(I145/G145*100,1))</f>
        <v/>
      </c>
      <c r="AB145" s="7">
        <f>IF(OR(Z145="",I145=""),"",ROUND(I145/Z145,0))</f>
        <v/>
      </c>
      <c r="AC145" s="7">
        <f>IF(I145="","",FLOOR(I145*IF(T145&lt;&gt;"",T145,IF(E145="농지",3,4))/100,10))</f>
        <v/>
      </c>
      <c r="AD145" s="7">
        <f>IF(I145="","",FLOOR(I145*IF(T145&lt;&gt;"",N(U145),0.2)/100,10))</f>
        <v/>
      </c>
      <c r="AE145" s="7">
        <f>IF(I145="","",FLOOR(I145*IF(T145&lt;&gt;"",N(V145),(IF(E145="농지",3,4)-2)*0.2)/100,10))</f>
        <v/>
      </c>
      <c r="AF145" s="7">
        <f>IF(N145="","",ROUND(N145*N(O145)/100*N(P145)/12,0))</f>
        <v/>
      </c>
      <c r="AG145" s="7">
        <f>IF(I145="","",I145+AC145+AD145+AE145+N(K145)+N(L145)+N(M145)+N(Q145)+N(AF145))</f>
        <v/>
      </c>
      <c r="AH145" s="7">
        <f>IF(OR(R145="",S145=""),"",ROUND(R145*S145/100,0))</f>
        <v/>
      </c>
      <c r="AI145" s="7">
        <f>IF(OR(AG145="",R145=""),"",R145-N(AH145)-AG145)</f>
        <v/>
      </c>
      <c r="AJ145" s="6">
        <f>IF(AI145="","",ROUND(AI145/AG145*100,1))</f>
        <v/>
      </c>
    </row>
    <row r="146">
      <c r="A146" s="3" t="n"/>
      <c r="B146" s="3" t="n"/>
      <c r="C146" s="4" t="n"/>
      <c r="D146" s="3" t="n"/>
      <c r="E146" s="3" t="n"/>
      <c r="F146" s="3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3" t="n"/>
      <c r="P146" s="3" t="n"/>
      <c r="Q146" s="5" t="n"/>
      <c r="R146" s="5" t="n"/>
      <c r="S146" s="3" t="n"/>
      <c r="T146" s="3" t="n"/>
      <c r="U146" s="3" t="n"/>
      <c r="V146" s="3" t="n"/>
      <c r="W146" s="3" t="n"/>
      <c r="X146" s="3" t="n"/>
      <c r="Y146" s="3" t="n"/>
      <c r="Z146" s="6">
        <f>IF(F146="","",ROUND(F146/3.305785,1))</f>
        <v/>
      </c>
      <c r="AA146" s="6">
        <f>IF(OR(G146="",I146=""),"",ROUND(I146/G146*100,1))</f>
        <v/>
      </c>
      <c r="AB146" s="7">
        <f>IF(OR(Z146="",I146=""),"",ROUND(I146/Z146,0))</f>
        <v/>
      </c>
      <c r="AC146" s="7">
        <f>IF(I146="","",FLOOR(I146*IF(T146&lt;&gt;"",T146,IF(E146="농지",3,4))/100,10))</f>
        <v/>
      </c>
      <c r="AD146" s="7">
        <f>IF(I146="","",FLOOR(I146*IF(T146&lt;&gt;"",N(U146),0.2)/100,10))</f>
        <v/>
      </c>
      <c r="AE146" s="7">
        <f>IF(I146="","",FLOOR(I146*IF(T146&lt;&gt;"",N(V146),(IF(E146="농지",3,4)-2)*0.2)/100,10))</f>
        <v/>
      </c>
      <c r="AF146" s="7">
        <f>IF(N146="","",ROUND(N146*N(O146)/100*N(P146)/12,0))</f>
        <v/>
      </c>
      <c r="AG146" s="7">
        <f>IF(I146="","",I146+AC146+AD146+AE146+N(K146)+N(L146)+N(M146)+N(Q146)+N(AF146))</f>
        <v/>
      </c>
      <c r="AH146" s="7">
        <f>IF(OR(R146="",S146=""),"",ROUND(R146*S146/100,0))</f>
        <v/>
      </c>
      <c r="AI146" s="7">
        <f>IF(OR(AG146="",R146=""),"",R146-N(AH146)-AG146)</f>
        <v/>
      </c>
      <c r="AJ146" s="6">
        <f>IF(AI146="","",ROUND(AI146/AG146*100,1))</f>
        <v/>
      </c>
    </row>
    <row r="147">
      <c r="A147" s="3" t="n"/>
      <c r="B147" s="3" t="n"/>
      <c r="C147" s="4" t="n"/>
      <c r="D147" s="3" t="n"/>
      <c r="E147" s="3" t="n"/>
      <c r="F147" s="3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3" t="n"/>
      <c r="P147" s="3" t="n"/>
      <c r="Q147" s="5" t="n"/>
      <c r="R147" s="5" t="n"/>
      <c r="S147" s="3" t="n"/>
      <c r="T147" s="3" t="n"/>
      <c r="U147" s="3" t="n"/>
      <c r="V147" s="3" t="n"/>
      <c r="W147" s="3" t="n"/>
      <c r="X147" s="3" t="n"/>
      <c r="Y147" s="3" t="n"/>
      <c r="Z147" s="6">
        <f>IF(F147="","",ROUND(F147/3.305785,1))</f>
        <v/>
      </c>
      <c r="AA147" s="6">
        <f>IF(OR(G147="",I147=""),"",ROUND(I147/G147*100,1))</f>
        <v/>
      </c>
      <c r="AB147" s="7">
        <f>IF(OR(Z147="",I147=""),"",ROUND(I147/Z147,0))</f>
        <v/>
      </c>
      <c r="AC147" s="7">
        <f>IF(I147="","",FLOOR(I147*IF(T147&lt;&gt;"",T147,IF(E147="농지",3,4))/100,10))</f>
        <v/>
      </c>
      <c r="AD147" s="7">
        <f>IF(I147="","",FLOOR(I147*IF(T147&lt;&gt;"",N(U147),0.2)/100,10))</f>
        <v/>
      </c>
      <c r="AE147" s="7">
        <f>IF(I147="","",FLOOR(I147*IF(T147&lt;&gt;"",N(V147),(IF(E147="농지",3,4)-2)*0.2)/100,10))</f>
        <v/>
      </c>
      <c r="AF147" s="7">
        <f>IF(N147="","",ROUND(N147*N(O147)/100*N(P147)/12,0))</f>
        <v/>
      </c>
      <c r="AG147" s="7">
        <f>IF(I147="","",I147+AC147+AD147+AE147+N(K147)+N(L147)+N(M147)+N(Q147)+N(AF147))</f>
        <v/>
      </c>
      <c r="AH147" s="7">
        <f>IF(OR(R147="",S147=""),"",ROUND(R147*S147/100,0))</f>
        <v/>
      </c>
      <c r="AI147" s="7">
        <f>IF(OR(AG147="",R147=""),"",R147-N(AH147)-AG147)</f>
        <v/>
      </c>
      <c r="AJ147" s="6">
        <f>IF(AI147="","",ROUND(AI147/AG147*100,1))</f>
        <v/>
      </c>
    </row>
    <row r="148">
      <c r="A148" s="3" t="n"/>
      <c r="B148" s="3" t="n"/>
      <c r="C148" s="4" t="n"/>
      <c r="D148" s="3" t="n"/>
      <c r="E148" s="3" t="n"/>
      <c r="F148" s="3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3" t="n"/>
      <c r="P148" s="3" t="n"/>
      <c r="Q148" s="5" t="n"/>
      <c r="R148" s="5" t="n"/>
      <c r="S148" s="3" t="n"/>
      <c r="T148" s="3" t="n"/>
      <c r="U148" s="3" t="n"/>
      <c r="V148" s="3" t="n"/>
      <c r="W148" s="3" t="n"/>
      <c r="X148" s="3" t="n"/>
      <c r="Y148" s="3" t="n"/>
      <c r="Z148" s="6">
        <f>IF(F148="","",ROUND(F148/3.305785,1))</f>
        <v/>
      </c>
      <c r="AA148" s="6">
        <f>IF(OR(G148="",I148=""),"",ROUND(I148/G148*100,1))</f>
        <v/>
      </c>
      <c r="AB148" s="7">
        <f>IF(OR(Z148="",I148=""),"",ROUND(I148/Z148,0))</f>
        <v/>
      </c>
      <c r="AC148" s="7">
        <f>IF(I148="","",FLOOR(I148*IF(T148&lt;&gt;"",T148,IF(E148="농지",3,4))/100,10))</f>
        <v/>
      </c>
      <c r="AD148" s="7">
        <f>IF(I148="","",FLOOR(I148*IF(T148&lt;&gt;"",N(U148),0.2)/100,10))</f>
        <v/>
      </c>
      <c r="AE148" s="7">
        <f>IF(I148="","",FLOOR(I148*IF(T148&lt;&gt;"",N(V148),(IF(E148="농지",3,4)-2)*0.2)/100,10))</f>
        <v/>
      </c>
      <c r="AF148" s="7">
        <f>IF(N148="","",ROUND(N148*N(O148)/100*N(P148)/12,0))</f>
        <v/>
      </c>
      <c r="AG148" s="7">
        <f>IF(I148="","",I148+AC148+AD148+AE148+N(K148)+N(L148)+N(M148)+N(Q148)+N(AF148))</f>
        <v/>
      </c>
      <c r="AH148" s="7">
        <f>IF(OR(R148="",S148=""),"",ROUND(R148*S148/100,0))</f>
        <v/>
      </c>
      <c r="AI148" s="7">
        <f>IF(OR(AG148="",R148=""),"",R148-N(AH148)-AG148)</f>
        <v/>
      </c>
      <c r="AJ148" s="6">
        <f>IF(AI148="","",ROUND(AI148/AG148*100,1))</f>
        <v/>
      </c>
    </row>
    <row r="149">
      <c r="A149" s="3" t="n"/>
      <c r="B149" s="3" t="n"/>
      <c r="C149" s="4" t="n"/>
      <c r="D149" s="3" t="n"/>
      <c r="E149" s="3" t="n"/>
      <c r="F149" s="3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3" t="n"/>
      <c r="P149" s="3" t="n"/>
      <c r="Q149" s="5" t="n"/>
      <c r="R149" s="5" t="n"/>
      <c r="S149" s="3" t="n"/>
      <c r="T149" s="3" t="n"/>
      <c r="U149" s="3" t="n"/>
      <c r="V149" s="3" t="n"/>
      <c r="W149" s="3" t="n"/>
      <c r="X149" s="3" t="n"/>
      <c r="Y149" s="3" t="n"/>
      <c r="Z149" s="6">
        <f>IF(F149="","",ROUND(F149/3.305785,1))</f>
        <v/>
      </c>
      <c r="AA149" s="6">
        <f>IF(OR(G149="",I149=""),"",ROUND(I149/G149*100,1))</f>
        <v/>
      </c>
      <c r="AB149" s="7">
        <f>IF(OR(Z149="",I149=""),"",ROUND(I149/Z149,0))</f>
        <v/>
      </c>
      <c r="AC149" s="7">
        <f>IF(I149="","",FLOOR(I149*IF(T149&lt;&gt;"",T149,IF(E149="농지",3,4))/100,10))</f>
        <v/>
      </c>
      <c r="AD149" s="7">
        <f>IF(I149="","",FLOOR(I149*IF(T149&lt;&gt;"",N(U149),0.2)/100,10))</f>
        <v/>
      </c>
      <c r="AE149" s="7">
        <f>IF(I149="","",FLOOR(I149*IF(T149&lt;&gt;"",N(V149),(IF(E149="농지",3,4)-2)*0.2)/100,10))</f>
        <v/>
      </c>
      <c r="AF149" s="7">
        <f>IF(N149="","",ROUND(N149*N(O149)/100*N(P149)/12,0))</f>
        <v/>
      </c>
      <c r="AG149" s="7">
        <f>IF(I149="","",I149+AC149+AD149+AE149+N(K149)+N(L149)+N(M149)+N(Q149)+N(AF149))</f>
        <v/>
      </c>
      <c r="AH149" s="7">
        <f>IF(OR(R149="",S149=""),"",ROUND(R149*S149/100,0))</f>
        <v/>
      </c>
      <c r="AI149" s="7">
        <f>IF(OR(AG149="",R149=""),"",R149-N(AH149)-AG149)</f>
        <v/>
      </c>
      <c r="AJ149" s="6">
        <f>IF(AI149="","",ROUND(AI149/AG149*100,1))</f>
        <v/>
      </c>
    </row>
    <row r="150">
      <c r="A150" s="3" t="n"/>
      <c r="B150" s="3" t="n"/>
      <c r="C150" s="4" t="n"/>
      <c r="D150" s="3" t="n"/>
      <c r="E150" s="3" t="n"/>
      <c r="F150" s="3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3" t="n"/>
      <c r="P150" s="3" t="n"/>
      <c r="Q150" s="5" t="n"/>
      <c r="R150" s="5" t="n"/>
      <c r="S150" s="3" t="n"/>
      <c r="T150" s="3" t="n"/>
      <c r="U150" s="3" t="n"/>
      <c r="V150" s="3" t="n"/>
      <c r="W150" s="3" t="n"/>
      <c r="X150" s="3" t="n"/>
      <c r="Y150" s="3" t="n"/>
      <c r="Z150" s="6">
        <f>IF(F150="","",ROUND(F150/3.305785,1))</f>
        <v/>
      </c>
      <c r="AA150" s="6">
        <f>IF(OR(G150="",I150=""),"",ROUND(I150/G150*100,1))</f>
        <v/>
      </c>
      <c r="AB150" s="7">
        <f>IF(OR(Z150="",I150=""),"",ROUND(I150/Z150,0))</f>
        <v/>
      </c>
      <c r="AC150" s="7">
        <f>IF(I150="","",FLOOR(I150*IF(T150&lt;&gt;"",T150,IF(E150="농지",3,4))/100,10))</f>
        <v/>
      </c>
      <c r="AD150" s="7">
        <f>IF(I150="","",FLOOR(I150*IF(T150&lt;&gt;"",N(U150),0.2)/100,10))</f>
        <v/>
      </c>
      <c r="AE150" s="7">
        <f>IF(I150="","",FLOOR(I150*IF(T150&lt;&gt;"",N(V150),(IF(E150="농지",3,4)-2)*0.2)/100,10))</f>
        <v/>
      </c>
      <c r="AF150" s="7">
        <f>IF(N150="","",ROUND(N150*N(O150)/100*N(P150)/12,0))</f>
        <v/>
      </c>
      <c r="AG150" s="7">
        <f>IF(I150="","",I150+AC150+AD150+AE150+N(K150)+N(L150)+N(M150)+N(Q150)+N(AF150))</f>
        <v/>
      </c>
      <c r="AH150" s="7">
        <f>IF(OR(R150="",S150=""),"",ROUND(R150*S150/100,0))</f>
        <v/>
      </c>
      <c r="AI150" s="7">
        <f>IF(OR(AG150="",R150=""),"",R150-N(AH150)-AG150)</f>
        <v/>
      </c>
      <c r="AJ150" s="6">
        <f>IF(AI150="","",ROUND(AI150/AG150*100,1))</f>
        <v/>
      </c>
    </row>
    <row r="151">
      <c r="A151" s="3" t="n"/>
      <c r="B151" s="3" t="n"/>
      <c r="C151" s="4" t="n"/>
      <c r="D151" s="3" t="n"/>
      <c r="E151" s="3" t="n"/>
      <c r="F151" s="3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3" t="n"/>
      <c r="P151" s="3" t="n"/>
      <c r="Q151" s="5" t="n"/>
      <c r="R151" s="5" t="n"/>
      <c r="S151" s="3" t="n"/>
      <c r="T151" s="3" t="n"/>
      <c r="U151" s="3" t="n"/>
      <c r="V151" s="3" t="n"/>
      <c r="W151" s="3" t="n"/>
      <c r="X151" s="3" t="n"/>
      <c r="Y151" s="3" t="n"/>
      <c r="Z151" s="6">
        <f>IF(F151="","",ROUND(F151/3.305785,1))</f>
        <v/>
      </c>
      <c r="AA151" s="6">
        <f>IF(OR(G151="",I151=""),"",ROUND(I151/G151*100,1))</f>
        <v/>
      </c>
      <c r="AB151" s="7">
        <f>IF(OR(Z151="",I151=""),"",ROUND(I151/Z151,0))</f>
        <v/>
      </c>
      <c r="AC151" s="7">
        <f>IF(I151="","",FLOOR(I151*IF(T151&lt;&gt;"",T151,IF(E151="농지",3,4))/100,10))</f>
        <v/>
      </c>
      <c r="AD151" s="7">
        <f>IF(I151="","",FLOOR(I151*IF(T151&lt;&gt;"",N(U151),0.2)/100,10))</f>
        <v/>
      </c>
      <c r="AE151" s="7">
        <f>IF(I151="","",FLOOR(I151*IF(T151&lt;&gt;"",N(V151),(IF(E151="농지",3,4)-2)*0.2)/100,10))</f>
        <v/>
      </c>
      <c r="AF151" s="7">
        <f>IF(N151="","",ROUND(N151*N(O151)/100*N(P151)/12,0))</f>
        <v/>
      </c>
      <c r="AG151" s="7">
        <f>IF(I151="","",I151+AC151+AD151+AE151+N(K151)+N(L151)+N(M151)+N(Q151)+N(AF151))</f>
        <v/>
      </c>
      <c r="AH151" s="7">
        <f>IF(OR(R151="",S151=""),"",ROUND(R151*S151/100,0))</f>
        <v/>
      </c>
      <c r="AI151" s="7">
        <f>IF(OR(AG151="",R151=""),"",R151-N(AH151)-AG151)</f>
        <v/>
      </c>
      <c r="AJ151" s="6">
        <f>IF(AI151="","",ROUND(AI151/AG151*100,1))</f>
        <v/>
      </c>
    </row>
    <row r="152">
      <c r="A152" s="3" t="n"/>
      <c r="B152" s="3" t="n"/>
      <c r="C152" s="4" t="n"/>
      <c r="D152" s="3" t="n"/>
      <c r="E152" s="3" t="n"/>
      <c r="F152" s="3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3" t="n"/>
      <c r="P152" s="3" t="n"/>
      <c r="Q152" s="5" t="n"/>
      <c r="R152" s="5" t="n"/>
      <c r="S152" s="3" t="n"/>
      <c r="T152" s="3" t="n"/>
      <c r="U152" s="3" t="n"/>
      <c r="V152" s="3" t="n"/>
      <c r="W152" s="3" t="n"/>
      <c r="X152" s="3" t="n"/>
      <c r="Y152" s="3" t="n"/>
      <c r="Z152" s="6">
        <f>IF(F152="","",ROUND(F152/3.305785,1))</f>
        <v/>
      </c>
      <c r="AA152" s="6">
        <f>IF(OR(G152="",I152=""),"",ROUND(I152/G152*100,1))</f>
        <v/>
      </c>
      <c r="AB152" s="7">
        <f>IF(OR(Z152="",I152=""),"",ROUND(I152/Z152,0))</f>
        <v/>
      </c>
      <c r="AC152" s="7">
        <f>IF(I152="","",FLOOR(I152*IF(T152&lt;&gt;"",T152,IF(E152="농지",3,4))/100,10))</f>
        <v/>
      </c>
      <c r="AD152" s="7">
        <f>IF(I152="","",FLOOR(I152*IF(T152&lt;&gt;"",N(U152),0.2)/100,10))</f>
        <v/>
      </c>
      <c r="AE152" s="7">
        <f>IF(I152="","",FLOOR(I152*IF(T152&lt;&gt;"",N(V152),(IF(E152="농지",3,4)-2)*0.2)/100,10))</f>
        <v/>
      </c>
      <c r="AF152" s="7">
        <f>IF(N152="","",ROUND(N152*N(O152)/100*N(P152)/12,0))</f>
        <v/>
      </c>
      <c r="AG152" s="7">
        <f>IF(I152="","",I152+AC152+AD152+AE152+N(K152)+N(L152)+N(M152)+N(Q152)+N(AF152))</f>
        <v/>
      </c>
      <c r="AH152" s="7">
        <f>IF(OR(R152="",S152=""),"",ROUND(R152*S152/100,0))</f>
        <v/>
      </c>
      <c r="AI152" s="7">
        <f>IF(OR(AG152="",R152=""),"",R152-N(AH152)-AG152)</f>
        <v/>
      </c>
      <c r="AJ152" s="6">
        <f>IF(AI152="","",ROUND(AI152/AG152*100,1))</f>
        <v/>
      </c>
    </row>
    <row r="153">
      <c r="A153" s="3" t="n"/>
      <c r="B153" s="3" t="n"/>
      <c r="C153" s="4" t="n"/>
      <c r="D153" s="3" t="n"/>
      <c r="E153" s="3" t="n"/>
      <c r="F153" s="3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3" t="n"/>
      <c r="P153" s="3" t="n"/>
      <c r="Q153" s="5" t="n"/>
      <c r="R153" s="5" t="n"/>
      <c r="S153" s="3" t="n"/>
      <c r="T153" s="3" t="n"/>
      <c r="U153" s="3" t="n"/>
      <c r="V153" s="3" t="n"/>
      <c r="W153" s="3" t="n"/>
      <c r="X153" s="3" t="n"/>
      <c r="Y153" s="3" t="n"/>
      <c r="Z153" s="6">
        <f>IF(F153="","",ROUND(F153/3.305785,1))</f>
        <v/>
      </c>
      <c r="AA153" s="6">
        <f>IF(OR(G153="",I153=""),"",ROUND(I153/G153*100,1))</f>
        <v/>
      </c>
      <c r="AB153" s="7">
        <f>IF(OR(Z153="",I153=""),"",ROUND(I153/Z153,0))</f>
        <v/>
      </c>
      <c r="AC153" s="7">
        <f>IF(I153="","",FLOOR(I153*IF(T153&lt;&gt;"",T153,IF(E153="농지",3,4))/100,10))</f>
        <v/>
      </c>
      <c r="AD153" s="7">
        <f>IF(I153="","",FLOOR(I153*IF(T153&lt;&gt;"",N(U153),0.2)/100,10))</f>
        <v/>
      </c>
      <c r="AE153" s="7">
        <f>IF(I153="","",FLOOR(I153*IF(T153&lt;&gt;"",N(V153),(IF(E153="농지",3,4)-2)*0.2)/100,10))</f>
        <v/>
      </c>
      <c r="AF153" s="7">
        <f>IF(N153="","",ROUND(N153*N(O153)/100*N(P153)/12,0))</f>
        <v/>
      </c>
      <c r="AG153" s="7">
        <f>IF(I153="","",I153+AC153+AD153+AE153+N(K153)+N(L153)+N(M153)+N(Q153)+N(AF153))</f>
        <v/>
      </c>
      <c r="AH153" s="7">
        <f>IF(OR(R153="",S153=""),"",ROUND(R153*S153/100,0))</f>
        <v/>
      </c>
      <c r="AI153" s="7">
        <f>IF(OR(AG153="",R153=""),"",R153-N(AH153)-AG153)</f>
        <v/>
      </c>
      <c r="AJ153" s="6">
        <f>IF(AI153="","",ROUND(AI153/AG153*100,1))</f>
        <v/>
      </c>
    </row>
    <row r="154">
      <c r="A154" s="3" t="n"/>
      <c r="B154" s="3" t="n"/>
      <c r="C154" s="4" t="n"/>
      <c r="D154" s="3" t="n"/>
      <c r="E154" s="3" t="n"/>
      <c r="F154" s="3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3" t="n"/>
      <c r="P154" s="3" t="n"/>
      <c r="Q154" s="5" t="n"/>
      <c r="R154" s="5" t="n"/>
      <c r="S154" s="3" t="n"/>
      <c r="T154" s="3" t="n"/>
      <c r="U154" s="3" t="n"/>
      <c r="V154" s="3" t="n"/>
      <c r="W154" s="3" t="n"/>
      <c r="X154" s="3" t="n"/>
      <c r="Y154" s="3" t="n"/>
      <c r="Z154" s="6">
        <f>IF(F154="","",ROUND(F154/3.305785,1))</f>
        <v/>
      </c>
      <c r="AA154" s="6">
        <f>IF(OR(G154="",I154=""),"",ROUND(I154/G154*100,1))</f>
        <v/>
      </c>
      <c r="AB154" s="7">
        <f>IF(OR(Z154="",I154=""),"",ROUND(I154/Z154,0))</f>
        <v/>
      </c>
      <c r="AC154" s="7">
        <f>IF(I154="","",FLOOR(I154*IF(T154&lt;&gt;"",T154,IF(E154="농지",3,4))/100,10))</f>
        <v/>
      </c>
      <c r="AD154" s="7">
        <f>IF(I154="","",FLOOR(I154*IF(T154&lt;&gt;"",N(U154),0.2)/100,10))</f>
        <v/>
      </c>
      <c r="AE154" s="7">
        <f>IF(I154="","",FLOOR(I154*IF(T154&lt;&gt;"",N(V154),(IF(E154="농지",3,4)-2)*0.2)/100,10))</f>
        <v/>
      </c>
      <c r="AF154" s="7">
        <f>IF(N154="","",ROUND(N154*N(O154)/100*N(P154)/12,0))</f>
        <v/>
      </c>
      <c r="AG154" s="7">
        <f>IF(I154="","",I154+AC154+AD154+AE154+N(K154)+N(L154)+N(M154)+N(Q154)+N(AF154))</f>
        <v/>
      </c>
      <c r="AH154" s="7">
        <f>IF(OR(R154="",S154=""),"",ROUND(R154*S154/100,0))</f>
        <v/>
      </c>
      <c r="AI154" s="7">
        <f>IF(OR(AG154="",R154=""),"",R154-N(AH154)-AG154)</f>
        <v/>
      </c>
      <c r="AJ154" s="6">
        <f>IF(AI154="","",ROUND(AI154/AG154*100,1))</f>
        <v/>
      </c>
    </row>
    <row r="155">
      <c r="A155" s="3" t="n"/>
      <c r="B155" s="3" t="n"/>
      <c r="C155" s="4" t="n"/>
      <c r="D155" s="3" t="n"/>
      <c r="E155" s="3" t="n"/>
      <c r="F155" s="3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3" t="n"/>
      <c r="P155" s="3" t="n"/>
      <c r="Q155" s="5" t="n"/>
      <c r="R155" s="5" t="n"/>
      <c r="S155" s="3" t="n"/>
      <c r="T155" s="3" t="n"/>
      <c r="U155" s="3" t="n"/>
      <c r="V155" s="3" t="n"/>
      <c r="W155" s="3" t="n"/>
      <c r="X155" s="3" t="n"/>
      <c r="Y155" s="3" t="n"/>
      <c r="Z155" s="6">
        <f>IF(F155="","",ROUND(F155/3.305785,1))</f>
        <v/>
      </c>
      <c r="AA155" s="6">
        <f>IF(OR(G155="",I155=""),"",ROUND(I155/G155*100,1))</f>
        <v/>
      </c>
      <c r="AB155" s="7">
        <f>IF(OR(Z155="",I155=""),"",ROUND(I155/Z155,0))</f>
        <v/>
      </c>
      <c r="AC155" s="7">
        <f>IF(I155="","",FLOOR(I155*IF(T155&lt;&gt;"",T155,IF(E155="농지",3,4))/100,10))</f>
        <v/>
      </c>
      <c r="AD155" s="7">
        <f>IF(I155="","",FLOOR(I155*IF(T155&lt;&gt;"",N(U155),0.2)/100,10))</f>
        <v/>
      </c>
      <c r="AE155" s="7">
        <f>IF(I155="","",FLOOR(I155*IF(T155&lt;&gt;"",N(V155),(IF(E155="농지",3,4)-2)*0.2)/100,10))</f>
        <v/>
      </c>
      <c r="AF155" s="7">
        <f>IF(N155="","",ROUND(N155*N(O155)/100*N(P155)/12,0))</f>
        <v/>
      </c>
      <c r="AG155" s="7">
        <f>IF(I155="","",I155+AC155+AD155+AE155+N(K155)+N(L155)+N(M155)+N(Q155)+N(AF155))</f>
        <v/>
      </c>
      <c r="AH155" s="7">
        <f>IF(OR(R155="",S155=""),"",ROUND(R155*S155/100,0))</f>
        <v/>
      </c>
      <c r="AI155" s="7">
        <f>IF(OR(AG155="",R155=""),"",R155-N(AH155)-AG155)</f>
        <v/>
      </c>
      <c r="AJ155" s="6">
        <f>IF(AI155="","",ROUND(AI155/AG155*100,1))</f>
        <v/>
      </c>
    </row>
    <row r="156">
      <c r="A156" s="3" t="n"/>
      <c r="B156" s="3" t="n"/>
      <c r="C156" s="4" t="n"/>
      <c r="D156" s="3" t="n"/>
      <c r="E156" s="3" t="n"/>
      <c r="F156" s="3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3" t="n"/>
      <c r="P156" s="3" t="n"/>
      <c r="Q156" s="5" t="n"/>
      <c r="R156" s="5" t="n"/>
      <c r="S156" s="3" t="n"/>
      <c r="T156" s="3" t="n"/>
      <c r="U156" s="3" t="n"/>
      <c r="V156" s="3" t="n"/>
      <c r="W156" s="3" t="n"/>
      <c r="X156" s="3" t="n"/>
      <c r="Y156" s="3" t="n"/>
      <c r="Z156" s="6">
        <f>IF(F156="","",ROUND(F156/3.305785,1))</f>
        <v/>
      </c>
      <c r="AA156" s="6">
        <f>IF(OR(G156="",I156=""),"",ROUND(I156/G156*100,1))</f>
        <v/>
      </c>
      <c r="AB156" s="7">
        <f>IF(OR(Z156="",I156=""),"",ROUND(I156/Z156,0))</f>
        <v/>
      </c>
      <c r="AC156" s="7">
        <f>IF(I156="","",FLOOR(I156*IF(T156&lt;&gt;"",T156,IF(E156="농지",3,4))/100,10))</f>
        <v/>
      </c>
      <c r="AD156" s="7">
        <f>IF(I156="","",FLOOR(I156*IF(T156&lt;&gt;"",N(U156),0.2)/100,10))</f>
        <v/>
      </c>
      <c r="AE156" s="7">
        <f>IF(I156="","",FLOOR(I156*IF(T156&lt;&gt;"",N(V156),(IF(E156="농지",3,4)-2)*0.2)/100,10))</f>
        <v/>
      </c>
      <c r="AF156" s="7">
        <f>IF(N156="","",ROUND(N156*N(O156)/100*N(P156)/12,0))</f>
        <v/>
      </c>
      <c r="AG156" s="7">
        <f>IF(I156="","",I156+AC156+AD156+AE156+N(K156)+N(L156)+N(M156)+N(Q156)+N(AF156))</f>
        <v/>
      </c>
      <c r="AH156" s="7">
        <f>IF(OR(R156="",S156=""),"",ROUND(R156*S156/100,0))</f>
        <v/>
      </c>
      <c r="AI156" s="7">
        <f>IF(OR(AG156="",R156=""),"",R156-N(AH156)-AG156)</f>
        <v/>
      </c>
      <c r="AJ156" s="6">
        <f>IF(AI156="","",ROUND(AI156/AG156*100,1))</f>
        <v/>
      </c>
    </row>
    <row r="157">
      <c r="A157" s="3" t="n"/>
      <c r="B157" s="3" t="n"/>
      <c r="C157" s="4" t="n"/>
      <c r="D157" s="3" t="n"/>
      <c r="E157" s="3" t="n"/>
      <c r="F157" s="3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3" t="n"/>
      <c r="P157" s="3" t="n"/>
      <c r="Q157" s="5" t="n"/>
      <c r="R157" s="5" t="n"/>
      <c r="S157" s="3" t="n"/>
      <c r="T157" s="3" t="n"/>
      <c r="U157" s="3" t="n"/>
      <c r="V157" s="3" t="n"/>
      <c r="W157" s="3" t="n"/>
      <c r="X157" s="3" t="n"/>
      <c r="Y157" s="3" t="n"/>
      <c r="Z157" s="6">
        <f>IF(F157="","",ROUND(F157/3.305785,1))</f>
        <v/>
      </c>
      <c r="AA157" s="6">
        <f>IF(OR(G157="",I157=""),"",ROUND(I157/G157*100,1))</f>
        <v/>
      </c>
      <c r="AB157" s="7">
        <f>IF(OR(Z157="",I157=""),"",ROUND(I157/Z157,0))</f>
        <v/>
      </c>
      <c r="AC157" s="7">
        <f>IF(I157="","",FLOOR(I157*IF(T157&lt;&gt;"",T157,IF(E157="농지",3,4))/100,10))</f>
        <v/>
      </c>
      <c r="AD157" s="7">
        <f>IF(I157="","",FLOOR(I157*IF(T157&lt;&gt;"",N(U157),0.2)/100,10))</f>
        <v/>
      </c>
      <c r="AE157" s="7">
        <f>IF(I157="","",FLOOR(I157*IF(T157&lt;&gt;"",N(V157),(IF(E157="농지",3,4)-2)*0.2)/100,10))</f>
        <v/>
      </c>
      <c r="AF157" s="7">
        <f>IF(N157="","",ROUND(N157*N(O157)/100*N(P157)/12,0))</f>
        <v/>
      </c>
      <c r="AG157" s="7">
        <f>IF(I157="","",I157+AC157+AD157+AE157+N(K157)+N(L157)+N(M157)+N(Q157)+N(AF157))</f>
        <v/>
      </c>
      <c r="AH157" s="7">
        <f>IF(OR(R157="",S157=""),"",ROUND(R157*S157/100,0))</f>
        <v/>
      </c>
      <c r="AI157" s="7">
        <f>IF(OR(AG157="",R157=""),"",R157-N(AH157)-AG157)</f>
        <v/>
      </c>
      <c r="AJ157" s="6">
        <f>IF(AI157="","",ROUND(AI157/AG157*100,1))</f>
        <v/>
      </c>
    </row>
    <row r="158">
      <c r="A158" s="3" t="n"/>
      <c r="B158" s="3" t="n"/>
      <c r="C158" s="4" t="n"/>
      <c r="D158" s="3" t="n"/>
      <c r="E158" s="3" t="n"/>
      <c r="F158" s="3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3" t="n"/>
      <c r="P158" s="3" t="n"/>
      <c r="Q158" s="5" t="n"/>
      <c r="R158" s="5" t="n"/>
      <c r="S158" s="3" t="n"/>
      <c r="T158" s="3" t="n"/>
      <c r="U158" s="3" t="n"/>
      <c r="V158" s="3" t="n"/>
      <c r="W158" s="3" t="n"/>
      <c r="X158" s="3" t="n"/>
      <c r="Y158" s="3" t="n"/>
      <c r="Z158" s="6">
        <f>IF(F158="","",ROUND(F158/3.305785,1))</f>
        <v/>
      </c>
      <c r="AA158" s="6">
        <f>IF(OR(G158="",I158=""),"",ROUND(I158/G158*100,1))</f>
        <v/>
      </c>
      <c r="AB158" s="7">
        <f>IF(OR(Z158="",I158=""),"",ROUND(I158/Z158,0))</f>
        <v/>
      </c>
      <c r="AC158" s="7">
        <f>IF(I158="","",FLOOR(I158*IF(T158&lt;&gt;"",T158,IF(E158="농지",3,4))/100,10))</f>
        <v/>
      </c>
      <c r="AD158" s="7">
        <f>IF(I158="","",FLOOR(I158*IF(T158&lt;&gt;"",N(U158),0.2)/100,10))</f>
        <v/>
      </c>
      <c r="AE158" s="7">
        <f>IF(I158="","",FLOOR(I158*IF(T158&lt;&gt;"",N(V158),(IF(E158="농지",3,4)-2)*0.2)/100,10))</f>
        <v/>
      </c>
      <c r="AF158" s="7">
        <f>IF(N158="","",ROUND(N158*N(O158)/100*N(P158)/12,0))</f>
        <v/>
      </c>
      <c r="AG158" s="7">
        <f>IF(I158="","",I158+AC158+AD158+AE158+N(K158)+N(L158)+N(M158)+N(Q158)+N(AF158))</f>
        <v/>
      </c>
      <c r="AH158" s="7">
        <f>IF(OR(R158="",S158=""),"",ROUND(R158*S158/100,0))</f>
        <v/>
      </c>
      <c r="AI158" s="7">
        <f>IF(OR(AG158="",R158=""),"",R158-N(AH158)-AG158)</f>
        <v/>
      </c>
      <c r="AJ158" s="6">
        <f>IF(AI158="","",ROUND(AI158/AG158*100,1))</f>
        <v/>
      </c>
    </row>
    <row r="159">
      <c r="A159" s="3" t="n"/>
      <c r="B159" s="3" t="n"/>
      <c r="C159" s="4" t="n"/>
      <c r="D159" s="3" t="n"/>
      <c r="E159" s="3" t="n"/>
      <c r="F159" s="3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3" t="n"/>
      <c r="P159" s="3" t="n"/>
      <c r="Q159" s="5" t="n"/>
      <c r="R159" s="5" t="n"/>
      <c r="S159" s="3" t="n"/>
      <c r="T159" s="3" t="n"/>
      <c r="U159" s="3" t="n"/>
      <c r="V159" s="3" t="n"/>
      <c r="W159" s="3" t="n"/>
      <c r="X159" s="3" t="n"/>
      <c r="Y159" s="3" t="n"/>
      <c r="Z159" s="6">
        <f>IF(F159="","",ROUND(F159/3.305785,1))</f>
        <v/>
      </c>
      <c r="AA159" s="6">
        <f>IF(OR(G159="",I159=""),"",ROUND(I159/G159*100,1))</f>
        <v/>
      </c>
      <c r="AB159" s="7">
        <f>IF(OR(Z159="",I159=""),"",ROUND(I159/Z159,0))</f>
        <v/>
      </c>
      <c r="AC159" s="7">
        <f>IF(I159="","",FLOOR(I159*IF(T159&lt;&gt;"",T159,IF(E159="농지",3,4))/100,10))</f>
        <v/>
      </c>
      <c r="AD159" s="7">
        <f>IF(I159="","",FLOOR(I159*IF(T159&lt;&gt;"",N(U159),0.2)/100,10))</f>
        <v/>
      </c>
      <c r="AE159" s="7">
        <f>IF(I159="","",FLOOR(I159*IF(T159&lt;&gt;"",N(V159),(IF(E159="농지",3,4)-2)*0.2)/100,10))</f>
        <v/>
      </c>
      <c r="AF159" s="7">
        <f>IF(N159="","",ROUND(N159*N(O159)/100*N(P159)/12,0))</f>
        <v/>
      </c>
      <c r="AG159" s="7">
        <f>IF(I159="","",I159+AC159+AD159+AE159+N(K159)+N(L159)+N(M159)+N(Q159)+N(AF159))</f>
        <v/>
      </c>
      <c r="AH159" s="7">
        <f>IF(OR(R159="",S159=""),"",ROUND(R159*S159/100,0))</f>
        <v/>
      </c>
      <c r="AI159" s="7">
        <f>IF(OR(AG159="",R159=""),"",R159-N(AH159)-AG159)</f>
        <v/>
      </c>
      <c r="AJ159" s="6">
        <f>IF(AI159="","",ROUND(AI159/AG159*100,1))</f>
        <v/>
      </c>
    </row>
    <row r="160">
      <c r="A160" s="3" t="n"/>
      <c r="B160" s="3" t="n"/>
      <c r="C160" s="4" t="n"/>
      <c r="D160" s="3" t="n"/>
      <c r="E160" s="3" t="n"/>
      <c r="F160" s="3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3" t="n"/>
      <c r="P160" s="3" t="n"/>
      <c r="Q160" s="5" t="n"/>
      <c r="R160" s="5" t="n"/>
      <c r="S160" s="3" t="n"/>
      <c r="T160" s="3" t="n"/>
      <c r="U160" s="3" t="n"/>
      <c r="V160" s="3" t="n"/>
      <c r="W160" s="3" t="n"/>
      <c r="X160" s="3" t="n"/>
      <c r="Y160" s="3" t="n"/>
      <c r="Z160" s="6">
        <f>IF(F160="","",ROUND(F160/3.305785,1))</f>
        <v/>
      </c>
      <c r="AA160" s="6">
        <f>IF(OR(G160="",I160=""),"",ROUND(I160/G160*100,1))</f>
        <v/>
      </c>
      <c r="AB160" s="7">
        <f>IF(OR(Z160="",I160=""),"",ROUND(I160/Z160,0))</f>
        <v/>
      </c>
      <c r="AC160" s="7">
        <f>IF(I160="","",FLOOR(I160*IF(T160&lt;&gt;"",T160,IF(E160="농지",3,4))/100,10))</f>
        <v/>
      </c>
      <c r="AD160" s="7">
        <f>IF(I160="","",FLOOR(I160*IF(T160&lt;&gt;"",N(U160),0.2)/100,10))</f>
        <v/>
      </c>
      <c r="AE160" s="7">
        <f>IF(I160="","",FLOOR(I160*IF(T160&lt;&gt;"",N(V160),(IF(E160="농지",3,4)-2)*0.2)/100,10))</f>
        <v/>
      </c>
      <c r="AF160" s="7">
        <f>IF(N160="","",ROUND(N160*N(O160)/100*N(P160)/12,0))</f>
        <v/>
      </c>
      <c r="AG160" s="7">
        <f>IF(I160="","",I160+AC160+AD160+AE160+N(K160)+N(L160)+N(M160)+N(Q160)+N(AF160))</f>
        <v/>
      </c>
      <c r="AH160" s="7">
        <f>IF(OR(R160="",S160=""),"",ROUND(R160*S160/100,0))</f>
        <v/>
      </c>
      <c r="AI160" s="7">
        <f>IF(OR(AG160="",R160=""),"",R160-N(AH160)-AG160)</f>
        <v/>
      </c>
      <c r="AJ160" s="6">
        <f>IF(AI160="","",ROUND(AI160/AG160*100,1))</f>
        <v/>
      </c>
    </row>
    <row r="161">
      <c r="A161" s="3" t="n"/>
      <c r="B161" s="3" t="n"/>
      <c r="C161" s="4" t="n"/>
      <c r="D161" s="3" t="n"/>
      <c r="E161" s="3" t="n"/>
      <c r="F161" s="3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3" t="n"/>
      <c r="P161" s="3" t="n"/>
      <c r="Q161" s="5" t="n"/>
      <c r="R161" s="5" t="n"/>
      <c r="S161" s="3" t="n"/>
      <c r="T161" s="3" t="n"/>
      <c r="U161" s="3" t="n"/>
      <c r="V161" s="3" t="n"/>
      <c r="W161" s="3" t="n"/>
      <c r="X161" s="3" t="n"/>
      <c r="Y161" s="3" t="n"/>
      <c r="Z161" s="6">
        <f>IF(F161="","",ROUND(F161/3.305785,1))</f>
        <v/>
      </c>
      <c r="AA161" s="6">
        <f>IF(OR(G161="",I161=""),"",ROUND(I161/G161*100,1))</f>
        <v/>
      </c>
      <c r="AB161" s="7">
        <f>IF(OR(Z161="",I161=""),"",ROUND(I161/Z161,0))</f>
        <v/>
      </c>
      <c r="AC161" s="7">
        <f>IF(I161="","",FLOOR(I161*IF(T161&lt;&gt;"",T161,IF(E161="농지",3,4))/100,10))</f>
        <v/>
      </c>
      <c r="AD161" s="7">
        <f>IF(I161="","",FLOOR(I161*IF(T161&lt;&gt;"",N(U161),0.2)/100,10))</f>
        <v/>
      </c>
      <c r="AE161" s="7">
        <f>IF(I161="","",FLOOR(I161*IF(T161&lt;&gt;"",N(V161),(IF(E161="농지",3,4)-2)*0.2)/100,10))</f>
        <v/>
      </c>
      <c r="AF161" s="7">
        <f>IF(N161="","",ROUND(N161*N(O161)/100*N(P161)/12,0))</f>
        <v/>
      </c>
      <c r="AG161" s="7">
        <f>IF(I161="","",I161+AC161+AD161+AE161+N(K161)+N(L161)+N(M161)+N(Q161)+N(AF161))</f>
        <v/>
      </c>
      <c r="AH161" s="7">
        <f>IF(OR(R161="",S161=""),"",ROUND(R161*S161/100,0))</f>
        <v/>
      </c>
      <c r="AI161" s="7">
        <f>IF(OR(AG161="",R161=""),"",R161-N(AH161)-AG161)</f>
        <v/>
      </c>
      <c r="AJ161" s="6">
        <f>IF(AI161="","",ROUND(AI161/AG161*100,1))</f>
        <v/>
      </c>
    </row>
    <row r="162">
      <c r="A162" s="3" t="n"/>
      <c r="B162" s="3" t="n"/>
      <c r="C162" s="4" t="n"/>
      <c r="D162" s="3" t="n"/>
      <c r="E162" s="3" t="n"/>
      <c r="F162" s="3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3" t="n"/>
      <c r="P162" s="3" t="n"/>
      <c r="Q162" s="5" t="n"/>
      <c r="R162" s="5" t="n"/>
      <c r="S162" s="3" t="n"/>
      <c r="T162" s="3" t="n"/>
      <c r="U162" s="3" t="n"/>
      <c r="V162" s="3" t="n"/>
      <c r="W162" s="3" t="n"/>
      <c r="X162" s="3" t="n"/>
      <c r="Y162" s="3" t="n"/>
      <c r="Z162" s="6">
        <f>IF(F162="","",ROUND(F162/3.305785,1))</f>
        <v/>
      </c>
      <c r="AA162" s="6">
        <f>IF(OR(G162="",I162=""),"",ROUND(I162/G162*100,1))</f>
        <v/>
      </c>
      <c r="AB162" s="7">
        <f>IF(OR(Z162="",I162=""),"",ROUND(I162/Z162,0))</f>
        <v/>
      </c>
      <c r="AC162" s="7">
        <f>IF(I162="","",FLOOR(I162*IF(T162&lt;&gt;"",T162,IF(E162="농지",3,4))/100,10))</f>
        <v/>
      </c>
      <c r="AD162" s="7">
        <f>IF(I162="","",FLOOR(I162*IF(T162&lt;&gt;"",N(U162),0.2)/100,10))</f>
        <v/>
      </c>
      <c r="AE162" s="7">
        <f>IF(I162="","",FLOOR(I162*IF(T162&lt;&gt;"",N(V162),(IF(E162="농지",3,4)-2)*0.2)/100,10))</f>
        <v/>
      </c>
      <c r="AF162" s="7">
        <f>IF(N162="","",ROUND(N162*N(O162)/100*N(P162)/12,0))</f>
        <v/>
      </c>
      <c r="AG162" s="7">
        <f>IF(I162="","",I162+AC162+AD162+AE162+N(K162)+N(L162)+N(M162)+N(Q162)+N(AF162))</f>
        <v/>
      </c>
      <c r="AH162" s="7">
        <f>IF(OR(R162="",S162=""),"",ROUND(R162*S162/100,0))</f>
        <v/>
      </c>
      <c r="AI162" s="7">
        <f>IF(OR(AG162="",R162=""),"",R162-N(AH162)-AG162)</f>
        <v/>
      </c>
      <c r="AJ162" s="6">
        <f>IF(AI162="","",ROUND(AI162/AG162*100,1))</f>
        <v/>
      </c>
    </row>
    <row r="163">
      <c r="A163" s="3" t="n"/>
      <c r="B163" s="3" t="n"/>
      <c r="C163" s="4" t="n"/>
      <c r="D163" s="3" t="n"/>
      <c r="E163" s="3" t="n"/>
      <c r="F163" s="3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3" t="n"/>
      <c r="P163" s="3" t="n"/>
      <c r="Q163" s="5" t="n"/>
      <c r="R163" s="5" t="n"/>
      <c r="S163" s="3" t="n"/>
      <c r="T163" s="3" t="n"/>
      <c r="U163" s="3" t="n"/>
      <c r="V163" s="3" t="n"/>
      <c r="W163" s="3" t="n"/>
      <c r="X163" s="3" t="n"/>
      <c r="Y163" s="3" t="n"/>
      <c r="Z163" s="6">
        <f>IF(F163="","",ROUND(F163/3.305785,1))</f>
        <v/>
      </c>
      <c r="AA163" s="6">
        <f>IF(OR(G163="",I163=""),"",ROUND(I163/G163*100,1))</f>
        <v/>
      </c>
      <c r="AB163" s="7">
        <f>IF(OR(Z163="",I163=""),"",ROUND(I163/Z163,0))</f>
        <v/>
      </c>
      <c r="AC163" s="7">
        <f>IF(I163="","",FLOOR(I163*IF(T163&lt;&gt;"",T163,IF(E163="농지",3,4))/100,10))</f>
        <v/>
      </c>
      <c r="AD163" s="7">
        <f>IF(I163="","",FLOOR(I163*IF(T163&lt;&gt;"",N(U163),0.2)/100,10))</f>
        <v/>
      </c>
      <c r="AE163" s="7">
        <f>IF(I163="","",FLOOR(I163*IF(T163&lt;&gt;"",N(V163),(IF(E163="농지",3,4)-2)*0.2)/100,10))</f>
        <v/>
      </c>
      <c r="AF163" s="7">
        <f>IF(N163="","",ROUND(N163*N(O163)/100*N(P163)/12,0))</f>
        <v/>
      </c>
      <c r="AG163" s="7">
        <f>IF(I163="","",I163+AC163+AD163+AE163+N(K163)+N(L163)+N(M163)+N(Q163)+N(AF163))</f>
        <v/>
      </c>
      <c r="AH163" s="7">
        <f>IF(OR(R163="",S163=""),"",ROUND(R163*S163/100,0))</f>
        <v/>
      </c>
      <c r="AI163" s="7">
        <f>IF(OR(AG163="",R163=""),"",R163-N(AH163)-AG163)</f>
        <v/>
      </c>
      <c r="AJ163" s="6">
        <f>IF(AI163="","",ROUND(AI163/AG163*100,1))</f>
        <v/>
      </c>
    </row>
    <row r="164">
      <c r="A164" s="3" t="n"/>
      <c r="B164" s="3" t="n"/>
      <c r="C164" s="4" t="n"/>
      <c r="D164" s="3" t="n"/>
      <c r="E164" s="3" t="n"/>
      <c r="F164" s="3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3" t="n"/>
      <c r="P164" s="3" t="n"/>
      <c r="Q164" s="5" t="n"/>
      <c r="R164" s="5" t="n"/>
      <c r="S164" s="3" t="n"/>
      <c r="T164" s="3" t="n"/>
      <c r="U164" s="3" t="n"/>
      <c r="V164" s="3" t="n"/>
      <c r="W164" s="3" t="n"/>
      <c r="X164" s="3" t="n"/>
      <c r="Y164" s="3" t="n"/>
      <c r="Z164" s="6">
        <f>IF(F164="","",ROUND(F164/3.305785,1))</f>
        <v/>
      </c>
      <c r="AA164" s="6">
        <f>IF(OR(G164="",I164=""),"",ROUND(I164/G164*100,1))</f>
        <v/>
      </c>
      <c r="AB164" s="7">
        <f>IF(OR(Z164="",I164=""),"",ROUND(I164/Z164,0))</f>
        <v/>
      </c>
      <c r="AC164" s="7">
        <f>IF(I164="","",FLOOR(I164*IF(T164&lt;&gt;"",T164,IF(E164="농지",3,4))/100,10))</f>
        <v/>
      </c>
      <c r="AD164" s="7">
        <f>IF(I164="","",FLOOR(I164*IF(T164&lt;&gt;"",N(U164),0.2)/100,10))</f>
        <v/>
      </c>
      <c r="AE164" s="7">
        <f>IF(I164="","",FLOOR(I164*IF(T164&lt;&gt;"",N(V164),(IF(E164="농지",3,4)-2)*0.2)/100,10))</f>
        <v/>
      </c>
      <c r="AF164" s="7">
        <f>IF(N164="","",ROUND(N164*N(O164)/100*N(P164)/12,0))</f>
        <v/>
      </c>
      <c r="AG164" s="7">
        <f>IF(I164="","",I164+AC164+AD164+AE164+N(K164)+N(L164)+N(M164)+N(Q164)+N(AF164))</f>
        <v/>
      </c>
      <c r="AH164" s="7">
        <f>IF(OR(R164="",S164=""),"",ROUND(R164*S164/100,0))</f>
        <v/>
      </c>
      <c r="AI164" s="7">
        <f>IF(OR(AG164="",R164=""),"",R164-N(AH164)-AG164)</f>
        <v/>
      </c>
      <c r="AJ164" s="6">
        <f>IF(AI164="","",ROUND(AI164/AG164*100,1))</f>
        <v/>
      </c>
    </row>
    <row r="165">
      <c r="A165" s="3" t="n"/>
      <c r="B165" s="3" t="n"/>
      <c r="C165" s="4" t="n"/>
      <c r="D165" s="3" t="n"/>
      <c r="E165" s="3" t="n"/>
      <c r="F165" s="3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3" t="n"/>
      <c r="P165" s="3" t="n"/>
      <c r="Q165" s="5" t="n"/>
      <c r="R165" s="5" t="n"/>
      <c r="S165" s="3" t="n"/>
      <c r="T165" s="3" t="n"/>
      <c r="U165" s="3" t="n"/>
      <c r="V165" s="3" t="n"/>
      <c r="W165" s="3" t="n"/>
      <c r="X165" s="3" t="n"/>
      <c r="Y165" s="3" t="n"/>
      <c r="Z165" s="6">
        <f>IF(F165="","",ROUND(F165/3.305785,1))</f>
        <v/>
      </c>
      <c r="AA165" s="6">
        <f>IF(OR(G165="",I165=""),"",ROUND(I165/G165*100,1))</f>
        <v/>
      </c>
      <c r="AB165" s="7">
        <f>IF(OR(Z165="",I165=""),"",ROUND(I165/Z165,0))</f>
        <v/>
      </c>
      <c r="AC165" s="7">
        <f>IF(I165="","",FLOOR(I165*IF(T165&lt;&gt;"",T165,IF(E165="농지",3,4))/100,10))</f>
        <v/>
      </c>
      <c r="AD165" s="7">
        <f>IF(I165="","",FLOOR(I165*IF(T165&lt;&gt;"",N(U165),0.2)/100,10))</f>
        <v/>
      </c>
      <c r="AE165" s="7">
        <f>IF(I165="","",FLOOR(I165*IF(T165&lt;&gt;"",N(V165),(IF(E165="농지",3,4)-2)*0.2)/100,10))</f>
        <v/>
      </c>
      <c r="AF165" s="7">
        <f>IF(N165="","",ROUND(N165*N(O165)/100*N(P165)/12,0))</f>
        <v/>
      </c>
      <c r="AG165" s="7">
        <f>IF(I165="","",I165+AC165+AD165+AE165+N(K165)+N(L165)+N(M165)+N(Q165)+N(AF165))</f>
        <v/>
      </c>
      <c r="AH165" s="7">
        <f>IF(OR(R165="",S165=""),"",ROUND(R165*S165/100,0))</f>
        <v/>
      </c>
      <c r="AI165" s="7">
        <f>IF(OR(AG165="",R165=""),"",R165-N(AH165)-AG165)</f>
        <v/>
      </c>
      <c r="AJ165" s="6">
        <f>IF(AI165="","",ROUND(AI165/AG165*100,1))</f>
        <v/>
      </c>
    </row>
    <row r="166">
      <c r="A166" s="3" t="n"/>
      <c r="B166" s="3" t="n"/>
      <c r="C166" s="4" t="n"/>
      <c r="D166" s="3" t="n"/>
      <c r="E166" s="3" t="n"/>
      <c r="F166" s="3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3" t="n"/>
      <c r="P166" s="3" t="n"/>
      <c r="Q166" s="5" t="n"/>
      <c r="R166" s="5" t="n"/>
      <c r="S166" s="3" t="n"/>
      <c r="T166" s="3" t="n"/>
      <c r="U166" s="3" t="n"/>
      <c r="V166" s="3" t="n"/>
      <c r="W166" s="3" t="n"/>
      <c r="X166" s="3" t="n"/>
      <c r="Y166" s="3" t="n"/>
      <c r="Z166" s="6">
        <f>IF(F166="","",ROUND(F166/3.305785,1))</f>
        <v/>
      </c>
      <c r="AA166" s="6">
        <f>IF(OR(G166="",I166=""),"",ROUND(I166/G166*100,1))</f>
        <v/>
      </c>
      <c r="AB166" s="7">
        <f>IF(OR(Z166="",I166=""),"",ROUND(I166/Z166,0))</f>
        <v/>
      </c>
      <c r="AC166" s="7">
        <f>IF(I166="","",FLOOR(I166*IF(T166&lt;&gt;"",T166,IF(E166="농지",3,4))/100,10))</f>
        <v/>
      </c>
      <c r="AD166" s="7">
        <f>IF(I166="","",FLOOR(I166*IF(T166&lt;&gt;"",N(U166),0.2)/100,10))</f>
        <v/>
      </c>
      <c r="AE166" s="7">
        <f>IF(I166="","",FLOOR(I166*IF(T166&lt;&gt;"",N(V166),(IF(E166="농지",3,4)-2)*0.2)/100,10))</f>
        <v/>
      </c>
      <c r="AF166" s="7">
        <f>IF(N166="","",ROUND(N166*N(O166)/100*N(P166)/12,0))</f>
        <v/>
      </c>
      <c r="AG166" s="7">
        <f>IF(I166="","",I166+AC166+AD166+AE166+N(K166)+N(L166)+N(M166)+N(Q166)+N(AF166))</f>
        <v/>
      </c>
      <c r="AH166" s="7">
        <f>IF(OR(R166="",S166=""),"",ROUND(R166*S166/100,0))</f>
        <v/>
      </c>
      <c r="AI166" s="7">
        <f>IF(OR(AG166="",R166=""),"",R166-N(AH166)-AG166)</f>
        <v/>
      </c>
      <c r="AJ166" s="6">
        <f>IF(AI166="","",ROUND(AI166/AG166*100,1))</f>
        <v/>
      </c>
    </row>
    <row r="167">
      <c r="A167" s="3" t="n"/>
      <c r="B167" s="3" t="n"/>
      <c r="C167" s="4" t="n"/>
      <c r="D167" s="3" t="n"/>
      <c r="E167" s="3" t="n"/>
      <c r="F167" s="3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3" t="n"/>
      <c r="P167" s="3" t="n"/>
      <c r="Q167" s="5" t="n"/>
      <c r="R167" s="5" t="n"/>
      <c r="S167" s="3" t="n"/>
      <c r="T167" s="3" t="n"/>
      <c r="U167" s="3" t="n"/>
      <c r="V167" s="3" t="n"/>
      <c r="W167" s="3" t="n"/>
      <c r="X167" s="3" t="n"/>
      <c r="Y167" s="3" t="n"/>
      <c r="Z167" s="6">
        <f>IF(F167="","",ROUND(F167/3.305785,1))</f>
        <v/>
      </c>
      <c r="AA167" s="6">
        <f>IF(OR(G167="",I167=""),"",ROUND(I167/G167*100,1))</f>
        <v/>
      </c>
      <c r="AB167" s="7">
        <f>IF(OR(Z167="",I167=""),"",ROUND(I167/Z167,0))</f>
        <v/>
      </c>
      <c r="AC167" s="7">
        <f>IF(I167="","",FLOOR(I167*IF(T167&lt;&gt;"",T167,IF(E167="농지",3,4))/100,10))</f>
        <v/>
      </c>
      <c r="AD167" s="7">
        <f>IF(I167="","",FLOOR(I167*IF(T167&lt;&gt;"",N(U167),0.2)/100,10))</f>
        <v/>
      </c>
      <c r="AE167" s="7">
        <f>IF(I167="","",FLOOR(I167*IF(T167&lt;&gt;"",N(V167),(IF(E167="농지",3,4)-2)*0.2)/100,10))</f>
        <v/>
      </c>
      <c r="AF167" s="7">
        <f>IF(N167="","",ROUND(N167*N(O167)/100*N(P167)/12,0))</f>
        <v/>
      </c>
      <c r="AG167" s="7">
        <f>IF(I167="","",I167+AC167+AD167+AE167+N(K167)+N(L167)+N(M167)+N(Q167)+N(AF167))</f>
        <v/>
      </c>
      <c r="AH167" s="7">
        <f>IF(OR(R167="",S167=""),"",ROUND(R167*S167/100,0))</f>
        <v/>
      </c>
      <c r="AI167" s="7">
        <f>IF(OR(AG167="",R167=""),"",R167-N(AH167)-AG167)</f>
        <v/>
      </c>
      <c r="AJ167" s="6">
        <f>IF(AI167="","",ROUND(AI167/AG167*100,1))</f>
        <v/>
      </c>
    </row>
    <row r="168">
      <c r="A168" s="3" t="n"/>
      <c r="B168" s="3" t="n"/>
      <c r="C168" s="4" t="n"/>
      <c r="D168" s="3" t="n"/>
      <c r="E168" s="3" t="n"/>
      <c r="F168" s="3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3" t="n"/>
      <c r="P168" s="3" t="n"/>
      <c r="Q168" s="5" t="n"/>
      <c r="R168" s="5" t="n"/>
      <c r="S168" s="3" t="n"/>
      <c r="T168" s="3" t="n"/>
      <c r="U168" s="3" t="n"/>
      <c r="V168" s="3" t="n"/>
      <c r="W168" s="3" t="n"/>
      <c r="X168" s="3" t="n"/>
      <c r="Y168" s="3" t="n"/>
      <c r="Z168" s="6">
        <f>IF(F168="","",ROUND(F168/3.305785,1))</f>
        <v/>
      </c>
      <c r="AA168" s="6">
        <f>IF(OR(G168="",I168=""),"",ROUND(I168/G168*100,1))</f>
        <v/>
      </c>
      <c r="AB168" s="7">
        <f>IF(OR(Z168="",I168=""),"",ROUND(I168/Z168,0))</f>
        <v/>
      </c>
      <c r="AC168" s="7">
        <f>IF(I168="","",FLOOR(I168*IF(T168&lt;&gt;"",T168,IF(E168="농지",3,4))/100,10))</f>
        <v/>
      </c>
      <c r="AD168" s="7">
        <f>IF(I168="","",FLOOR(I168*IF(T168&lt;&gt;"",N(U168),0.2)/100,10))</f>
        <v/>
      </c>
      <c r="AE168" s="7">
        <f>IF(I168="","",FLOOR(I168*IF(T168&lt;&gt;"",N(V168),(IF(E168="농지",3,4)-2)*0.2)/100,10))</f>
        <v/>
      </c>
      <c r="AF168" s="7">
        <f>IF(N168="","",ROUND(N168*N(O168)/100*N(P168)/12,0))</f>
        <v/>
      </c>
      <c r="AG168" s="7">
        <f>IF(I168="","",I168+AC168+AD168+AE168+N(K168)+N(L168)+N(M168)+N(Q168)+N(AF168))</f>
        <v/>
      </c>
      <c r="AH168" s="7">
        <f>IF(OR(R168="",S168=""),"",ROUND(R168*S168/100,0))</f>
        <v/>
      </c>
      <c r="AI168" s="7">
        <f>IF(OR(AG168="",R168=""),"",R168-N(AH168)-AG168)</f>
        <v/>
      </c>
      <c r="AJ168" s="6">
        <f>IF(AI168="","",ROUND(AI168/AG168*100,1))</f>
        <v/>
      </c>
    </row>
    <row r="169">
      <c r="A169" s="3" t="n"/>
      <c r="B169" s="3" t="n"/>
      <c r="C169" s="4" t="n"/>
      <c r="D169" s="3" t="n"/>
      <c r="E169" s="3" t="n"/>
      <c r="F169" s="3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3" t="n"/>
      <c r="P169" s="3" t="n"/>
      <c r="Q169" s="5" t="n"/>
      <c r="R169" s="5" t="n"/>
      <c r="S169" s="3" t="n"/>
      <c r="T169" s="3" t="n"/>
      <c r="U169" s="3" t="n"/>
      <c r="V169" s="3" t="n"/>
      <c r="W169" s="3" t="n"/>
      <c r="X169" s="3" t="n"/>
      <c r="Y169" s="3" t="n"/>
      <c r="Z169" s="6">
        <f>IF(F169="","",ROUND(F169/3.305785,1))</f>
        <v/>
      </c>
      <c r="AA169" s="6">
        <f>IF(OR(G169="",I169=""),"",ROUND(I169/G169*100,1))</f>
        <v/>
      </c>
      <c r="AB169" s="7">
        <f>IF(OR(Z169="",I169=""),"",ROUND(I169/Z169,0))</f>
        <v/>
      </c>
      <c r="AC169" s="7">
        <f>IF(I169="","",FLOOR(I169*IF(T169&lt;&gt;"",T169,IF(E169="농지",3,4))/100,10))</f>
        <v/>
      </c>
      <c r="AD169" s="7">
        <f>IF(I169="","",FLOOR(I169*IF(T169&lt;&gt;"",N(U169),0.2)/100,10))</f>
        <v/>
      </c>
      <c r="AE169" s="7">
        <f>IF(I169="","",FLOOR(I169*IF(T169&lt;&gt;"",N(V169),(IF(E169="농지",3,4)-2)*0.2)/100,10))</f>
        <v/>
      </c>
      <c r="AF169" s="7">
        <f>IF(N169="","",ROUND(N169*N(O169)/100*N(P169)/12,0))</f>
        <v/>
      </c>
      <c r="AG169" s="7">
        <f>IF(I169="","",I169+AC169+AD169+AE169+N(K169)+N(L169)+N(M169)+N(Q169)+N(AF169))</f>
        <v/>
      </c>
      <c r="AH169" s="7">
        <f>IF(OR(R169="",S169=""),"",ROUND(R169*S169/100,0))</f>
        <v/>
      </c>
      <c r="AI169" s="7">
        <f>IF(OR(AG169="",R169=""),"",R169-N(AH169)-AG169)</f>
        <v/>
      </c>
      <c r="AJ169" s="6">
        <f>IF(AI169="","",ROUND(AI169/AG169*100,1))</f>
        <v/>
      </c>
    </row>
    <row r="170">
      <c r="A170" s="3" t="n"/>
      <c r="B170" s="3" t="n"/>
      <c r="C170" s="4" t="n"/>
      <c r="D170" s="3" t="n"/>
      <c r="E170" s="3" t="n"/>
      <c r="F170" s="3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3" t="n"/>
      <c r="P170" s="3" t="n"/>
      <c r="Q170" s="5" t="n"/>
      <c r="R170" s="5" t="n"/>
      <c r="S170" s="3" t="n"/>
      <c r="T170" s="3" t="n"/>
      <c r="U170" s="3" t="n"/>
      <c r="V170" s="3" t="n"/>
      <c r="W170" s="3" t="n"/>
      <c r="X170" s="3" t="n"/>
      <c r="Y170" s="3" t="n"/>
      <c r="Z170" s="6">
        <f>IF(F170="","",ROUND(F170/3.305785,1))</f>
        <v/>
      </c>
      <c r="AA170" s="6">
        <f>IF(OR(G170="",I170=""),"",ROUND(I170/G170*100,1))</f>
        <v/>
      </c>
      <c r="AB170" s="7">
        <f>IF(OR(Z170="",I170=""),"",ROUND(I170/Z170,0))</f>
        <v/>
      </c>
      <c r="AC170" s="7">
        <f>IF(I170="","",FLOOR(I170*IF(T170&lt;&gt;"",T170,IF(E170="농지",3,4))/100,10))</f>
        <v/>
      </c>
      <c r="AD170" s="7">
        <f>IF(I170="","",FLOOR(I170*IF(T170&lt;&gt;"",N(U170),0.2)/100,10))</f>
        <v/>
      </c>
      <c r="AE170" s="7">
        <f>IF(I170="","",FLOOR(I170*IF(T170&lt;&gt;"",N(V170),(IF(E170="농지",3,4)-2)*0.2)/100,10))</f>
        <v/>
      </c>
      <c r="AF170" s="7">
        <f>IF(N170="","",ROUND(N170*N(O170)/100*N(P170)/12,0))</f>
        <v/>
      </c>
      <c r="AG170" s="7">
        <f>IF(I170="","",I170+AC170+AD170+AE170+N(K170)+N(L170)+N(M170)+N(Q170)+N(AF170))</f>
        <v/>
      </c>
      <c r="AH170" s="7">
        <f>IF(OR(R170="",S170=""),"",ROUND(R170*S170/100,0))</f>
        <v/>
      </c>
      <c r="AI170" s="7">
        <f>IF(OR(AG170="",R170=""),"",R170-N(AH170)-AG170)</f>
        <v/>
      </c>
      <c r="AJ170" s="6">
        <f>IF(AI170="","",ROUND(AI170/AG170*100,1))</f>
        <v/>
      </c>
    </row>
    <row r="171">
      <c r="A171" s="3" t="n"/>
      <c r="B171" s="3" t="n"/>
      <c r="C171" s="4" t="n"/>
      <c r="D171" s="3" t="n"/>
      <c r="E171" s="3" t="n"/>
      <c r="F171" s="3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3" t="n"/>
      <c r="P171" s="3" t="n"/>
      <c r="Q171" s="5" t="n"/>
      <c r="R171" s="5" t="n"/>
      <c r="S171" s="3" t="n"/>
      <c r="T171" s="3" t="n"/>
      <c r="U171" s="3" t="n"/>
      <c r="V171" s="3" t="n"/>
      <c r="W171" s="3" t="n"/>
      <c r="X171" s="3" t="n"/>
      <c r="Y171" s="3" t="n"/>
      <c r="Z171" s="6">
        <f>IF(F171="","",ROUND(F171/3.305785,1))</f>
        <v/>
      </c>
      <c r="AA171" s="6">
        <f>IF(OR(G171="",I171=""),"",ROUND(I171/G171*100,1))</f>
        <v/>
      </c>
      <c r="AB171" s="7">
        <f>IF(OR(Z171="",I171=""),"",ROUND(I171/Z171,0))</f>
        <v/>
      </c>
      <c r="AC171" s="7">
        <f>IF(I171="","",FLOOR(I171*IF(T171&lt;&gt;"",T171,IF(E171="농지",3,4))/100,10))</f>
        <v/>
      </c>
      <c r="AD171" s="7">
        <f>IF(I171="","",FLOOR(I171*IF(T171&lt;&gt;"",N(U171),0.2)/100,10))</f>
        <v/>
      </c>
      <c r="AE171" s="7">
        <f>IF(I171="","",FLOOR(I171*IF(T171&lt;&gt;"",N(V171),(IF(E171="농지",3,4)-2)*0.2)/100,10))</f>
        <v/>
      </c>
      <c r="AF171" s="7">
        <f>IF(N171="","",ROUND(N171*N(O171)/100*N(P171)/12,0))</f>
        <v/>
      </c>
      <c r="AG171" s="7">
        <f>IF(I171="","",I171+AC171+AD171+AE171+N(K171)+N(L171)+N(M171)+N(Q171)+N(AF171))</f>
        <v/>
      </c>
      <c r="AH171" s="7">
        <f>IF(OR(R171="",S171=""),"",ROUND(R171*S171/100,0))</f>
        <v/>
      </c>
      <c r="AI171" s="7">
        <f>IF(OR(AG171="",R171=""),"",R171-N(AH171)-AG171)</f>
        <v/>
      </c>
      <c r="AJ171" s="6">
        <f>IF(AI171="","",ROUND(AI171/AG171*100,1))</f>
        <v/>
      </c>
    </row>
    <row r="172">
      <c r="A172" s="3" t="n"/>
      <c r="B172" s="3" t="n"/>
      <c r="C172" s="4" t="n"/>
      <c r="D172" s="3" t="n"/>
      <c r="E172" s="3" t="n"/>
      <c r="F172" s="3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3" t="n"/>
      <c r="P172" s="3" t="n"/>
      <c r="Q172" s="5" t="n"/>
      <c r="R172" s="5" t="n"/>
      <c r="S172" s="3" t="n"/>
      <c r="T172" s="3" t="n"/>
      <c r="U172" s="3" t="n"/>
      <c r="V172" s="3" t="n"/>
      <c r="W172" s="3" t="n"/>
      <c r="X172" s="3" t="n"/>
      <c r="Y172" s="3" t="n"/>
      <c r="Z172" s="6">
        <f>IF(F172="","",ROUND(F172/3.305785,1))</f>
        <v/>
      </c>
      <c r="AA172" s="6">
        <f>IF(OR(G172="",I172=""),"",ROUND(I172/G172*100,1))</f>
        <v/>
      </c>
      <c r="AB172" s="7">
        <f>IF(OR(Z172="",I172=""),"",ROUND(I172/Z172,0))</f>
        <v/>
      </c>
      <c r="AC172" s="7">
        <f>IF(I172="","",FLOOR(I172*IF(T172&lt;&gt;"",T172,IF(E172="농지",3,4))/100,10))</f>
        <v/>
      </c>
      <c r="AD172" s="7">
        <f>IF(I172="","",FLOOR(I172*IF(T172&lt;&gt;"",N(U172),0.2)/100,10))</f>
        <v/>
      </c>
      <c r="AE172" s="7">
        <f>IF(I172="","",FLOOR(I172*IF(T172&lt;&gt;"",N(V172),(IF(E172="농지",3,4)-2)*0.2)/100,10))</f>
        <v/>
      </c>
      <c r="AF172" s="7">
        <f>IF(N172="","",ROUND(N172*N(O172)/100*N(P172)/12,0))</f>
        <v/>
      </c>
      <c r="AG172" s="7">
        <f>IF(I172="","",I172+AC172+AD172+AE172+N(K172)+N(L172)+N(M172)+N(Q172)+N(AF172))</f>
        <v/>
      </c>
      <c r="AH172" s="7">
        <f>IF(OR(R172="",S172=""),"",ROUND(R172*S172/100,0))</f>
        <v/>
      </c>
      <c r="AI172" s="7">
        <f>IF(OR(AG172="",R172=""),"",R172-N(AH172)-AG172)</f>
        <v/>
      </c>
      <c r="AJ172" s="6">
        <f>IF(AI172="","",ROUND(AI172/AG172*100,1))</f>
        <v/>
      </c>
    </row>
    <row r="173">
      <c r="A173" s="3" t="n"/>
      <c r="B173" s="3" t="n"/>
      <c r="C173" s="4" t="n"/>
      <c r="D173" s="3" t="n"/>
      <c r="E173" s="3" t="n"/>
      <c r="F173" s="3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3" t="n"/>
      <c r="P173" s="3" t="n"/>
      <c r="Q173" s="5" t="n"/>
      <c r="R173" s="5" t="n"/>
      <c r="S173" s="3" t="n"/>
      <c r="T173" s="3" t="n"/>
      <c r="U173" s="3" t="n"/>
      <c r="V173" s="3" t="n"/>
      <c r="W173" s="3" t="n"/>
      <c r="X173" s="3" t="n"/>
      <c r="Y173" s="3" t="n"/>
      <c r="Z173" s="6">
        <f>IF(F173="","",ROUND(F173/3.305785,1))</f>
        <v/>
      </c>
      <c r="AA173" s="6">
        <f>IF(OR(G173="",I173=""),"",ROUND(I173/G173*100,1))</f>
        <v/>
      </c>
      <c r="AB173" s="7">
        <f>IF(OR(Z173="",I173=""),"",ROUND(I173/Z173,0))</f>
        <v/>
      </c>
      <c r="AC173" s="7">
        <f>IF(I173="","",FLOOR(I173*IF(T173&lt;&gt;"",T173,IF(E173="농지",3,4))/100,10))</f>
        <v/>
      </c>
      <c r="AD173" s="7">
        <f>IF(I173="","",FLOOR(I173*IF(T173&lt;&gt;"",N(U173),0.2)/100,10))</f>
        <v/>
      </c>
      <c r="AE173" s="7">
        <f>IF(I173="","",FLOOR(I173*IF(T173&lt;&gt;"",N(V173),(IF(E173="농지",3,4)-2)*0.2)/100,10))</f>
        <v/>
      </c>
      <c r="AF173" s="7">
        <f>IF(N173="","",ROUND(N173*N(O173)/100*N(P173)/12,0))</f>
        <v/>
      </c>
      <c r="AG173" s="7">
        <f>IF(I173="","",I173+AC173+AD173+AE173+N(K173)+N(L173)+N(M173)+N(Q173)+N(AF173))</f>
        <v/>
      </c>
      <c r="AH173" s="7">
        <f>IF(OR(R173="",S173=""),"",ROUND(R173*S173/100,0))</f>
        <v/>
      </c>
      <c r="AI173" s="7">
        <f>IF(OR(AG173="",R173=""),"",R173-N(AH173)-AG173)</f>
        <v/>
      </c>
      <c r="AJ173" s="6">
        <f>IF(AI173="","",ROUND(AI173/AG173*100,1))</f>
        <v/>
      </c>
    </row>
    <row r="174">
      <c r="A174" s="3" t="n"/>
      <c r="B174" s="3" t="n"/>
      <c r="C174" s="4" t="n"/>
      <c r="D174" s="3" t="n"/>
      <c r="E174" s="3" t="n"/>
      <c r="F174" s="3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3" t="n"/>
      <c r="P174" s="3" t="n"/>
      <c r="Q174" s="5" t="n"/>
      <c r="R174" s="5" t="n"/>
      <c r="S174" s="3" t="n"/>
      <c r="T174" s="3" t="n"/>
      <c r="U174" s="3" t="n"/>
      <c r="V174" s="3" t="n"/>
      <c r="W174" s="3" t="n"/>
      <c r="X174" s="3" t="n"/>
      <c r="Y174" s="3" t="n"/>
      <c r="Z174" s="6">
        <f>IF(F174="","",ROUND(F174/3.305785,1))</f>
        <v/>
      </c>
      <c r="AA174" s="6">
        <f>IF(OR(G174="",I174=""),"",ROUND(I174/G174*100,1))</f>
        <v/>
      </c>
      <c r="AB174" s="7">
        <f>IF(OR(Z174="",I174=""),"",ROUND(I174/Z174,0))</f>
        <v/>
      </c>
      <c r="AC174" s="7">
        <f>IF(I174="","",FLOOR(I174*IF(T174&lt;&gt;"",T174,IF(E174="농지",3,4))/100,10))</f>
        <v/>
      </c>
      <c r="AD174" s="7">
        <f>IF(I174="","",FLOOR(I174*IF(T174&lt;&gt;"",N(U174),0.2)/100,10))</f>
        <v/>
      </c>
      <c r="AE174" s="7">
        <f>IF(I174="","",FLOOR(I174*IF(T174&lt;&gt;"",N(V174),(IF(E174="농지",3,4)-2)*0.2)/100,10))</f>
        <v/>
      </c>
      <c r="AF174" s="7">
        <f>IF(N174="","",ROUND(N174*N(O174)/100*N(P174)/12,0))</f>
        <v/>
      </c>
      <c r="AG174" s="7">
        <f>IF(I174="","",I174+AC174+AD174+AE174+N(K174)+N(L174)+N(M174)+N(Q174)+N(AF174))</f>
        <v/>
      </c>
      <c r="AH174" s="7">
        <f>IF(OR(R174="",S174=""),"",ROUND(R174*S174/100,0))</f>
        <v/>
      </c>
      <c r="AI174" s="7">
        <f>IF(OR(AG174="",R174=""),"",R174-N(AH174)-AG174)</f>
        <v/>
      </c>
      <c r="AJ174" s="6">
        <f>IF(AI174="","",ROUND(AI174/AG174*100,1))</f>
        <v/>
      </c>
    </row>
    <row r="175">
      <c r="A175" s="3" t="n"/>
      <c r="B175" s="3" t="n"/>
      <c r="C175" s="4" t="n"/>
      <c r="D175" s="3" t="n"/>
      <c r="E175" s="3" t="n"/>
      <c r="F175" s="3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3" t="n"/>
      <c r="P175" s="3" t="n"/>
      <c r="Q175" s="5" t="n"/>
      <c r="R175" s="5" t="n"/>
      <c r="S175" s="3" t="n"/>
      <c r="T175" s="3" t="n"/>
      <c r="U175" s="3" t="n"/>
      <c r="V175" s="3" t="n"/>
      <c r="W175" s="3" t="n"/>
      <c r="X175" s="3" t="n"/>
      <c r="Y175" s="3" t="n"/>
      <c r="Z175" s="6">
        <f>IF(F175="","",ROUND(F175/3.305785,1))</f>
        <v/>
      </c>
      <c r="AA175" s="6">
        <f>IF(OR(G175="",I175=""),"",ROUND(I175/G175*100,1))</f>
        <v/>
      </c>
      <c r="AB175" s="7">
        <f>IF(OR(Z175="",I175=""),"",ROUND(I175/Z175,0))</f>
        <v/>
      </c>
      <c r="AC175" s="7">
        <f>IF(I175="","",FLOOR(I175*IF(T175&lt;&gt;"",T175,IF(E175="농지",3,4))/100,10))</f>
        <v/>
      </c>
      <c r="AD175" s="7">
        <f>IF(I175="","",FLOOR(I175*IF(T175&lt;&gt;"",N(U175),0.2)/100,10))</f>
        <v/>
      </c>
      <c r="AE175" s="7">
        <f>IF(I175="","",FLOOR(I175*IF(T175&lt;&gt;"",N(V175),(IF(E175="농지",3,4)-2)*0.2)/100,10))</f>
        <v/>
      </c>
      <c r="AF175" s="7">
        <f>IF(N175="","",ROUND(N175*N(O175)/100*N(P175)/12,0))</f>
        <v/>
      </c>
      <c r="AG175" s="7">
        <f>IF(I175="","",I175+AC175+AD175+AE175+N(K175)+N(L175)+N(M175)+N(Q175)+N(AF175))</f>
        <v/>
      </c>
      <c r="AH175" s="7">
        <f>IF(OR(R175="",S175=""),"",ROUND(R175*S175/100,0))</f>
        <v/>
      </c>
      <c r="AI175" s="7">
        <f>IF(OR(AG175="",R175=""),"",R175-N(AH175)-AG175)</f>
        <v/>
      </c>
      <c r="AJ175" s="6">
        <f>IF(AI175="","",ROUND(AI175/AG175*100,1))</f>
        <v/>
      </c>
    </row>
    <row r="176">
      <c r="A176" s="3" t="n"/>
      <c r="B176" s="3" t="n"/>
      <c r="C176" s="4" t="n"/>
      <c r="D176" s="3" t="n"/>
      <c r="E176" s="3" t="n"/>
      <c r="F176" s="3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3" t="n"/>
      <c r="P176" s="3" t="n"/>
      <c r="Q176" s="5" t="n"/>
      <c r="R176" s="5" t="n"/>
      <c r="S176" s="3" t="n"/>
      <c r="T176" s="3" t="n"/>
      <c r="U176" s="3" t="n"/>
      <c r="V176" s="3" t="n"/>
      <c r="W176" s="3" t="n"/>
      <c r="X176" s="3" t="n"/>
      <c r="Y176" s="3" t="n"/>
      <c r="Z176" s="6">
        <f>IF(F176="","",ROUND(F176/3.305785,1))</f>
        <v/>
      </c>
      <c r="AA176" s="6">
        <f>IF(OR(G176="",I176=""),"",ROUND(I176/G176*100,1))</f>
        <v/>
      </c>
      <c r="AB176" s="7">
        <f>IF(OR(Z176="",I176=""),"",ROUND(I176/Z176,0))</f>
        <v/>
      </c>
      <c r="AC176" s="7">
        <f>IF(I176="","",FLOOR(I176*IF(T176&lt;&gt;"",T176,IF(E176="농지",3,4))/100,10))</f>
        <v/>
      </c>
      <c r="AD176" s="7">
        <f>IF(I176="","",FLOOR(I176*IF(T176&lt;&gt;"",N(U176),0.2)/100,10))</f>
        <v/>
      </c>
      <c r="AE176" s="7">
        <f>IF(I176="","",FLOOR(I176*IF(T176&lt;&gt;"",N(V176),(IF(E176="농지",3,4)-2)*0.2)/100,10))</f>
        <v/>
      </c>
      <c r="AF176" s="7">
        <f>IF(N176="","",ROUND(N176*N(O176)/100*N(P176)/12,0))</f>
        <v/>
      </c>
      <c r="AG176" s="7">
        <f>IF(I176="","",I176+AC176+AD176+AE176+N(K176)+N(L176)+N(M176)+N(Q176)+N(AF176))</f>
        <v/>
      </c>
      <c r="AH176" s="7">
        <f>IF(OR(R176="",S176=""),"",ROUND(R176*S176/100,0))</f>
        <v/>
      </c>
      <c r="AI176" s="7">
        <f>IF(OR(AG176="",R176=""),"",R176-N(AH176)-AG176)</f>
        <v/>
      </c>
      <c r="AJ176" s="6">
        <f>IF(AI176="","",ROUND(AI176/AG176*100,1))</f>
        <v/>
      </c>
    </row>
    <row r="177">
      <c r="A177" s="3" t="n"/>
      <c r="B177" s="3" t="n"/>
      <c r="C177" s="4" t="n"/>
      <c r="D177" s="3" t="n"/>
      <c r="E177" s="3" t="n"/>
      <c r="F177" s="3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3" t="n"/>
      <c r="P177" s="3" t="n"/>
      <c r="Q177" s="5" t="n"/>
      <c r="R177" s="5" t="n"/>
      <c r="S177" s="3" t="n"/>
      <c r="T177" s="3" t="n"/>
      <c r="U177" s="3" t="n"/>
      <c r="V177" s="3" t="n"/>
      <c r="W177" s="3" t="n"/>
      <c r="X177" s="3" t="n"/>
      <c r="Y177" s="3" t="n"/>
      <c r="Z177" s="6">
        <f>IF(F177="","",ROUND(F177/3.305785,1))</f>
        <v/>
      </c>
      <c r="AA177" s="6">
        <f>IF(OR(G177="",I177=""),"",ROUND(I177/G177*100,1))</f>
        <v/>
      </c>
      <c r="AB177" s="7">
        <f>IF(OR(Z177="",I177=""),"",ROUND(I177/Z177,0))</f>
        <v/>
      </c>
      <c r="AC177" s="7">
        <f>IF(I177="","",FLOOR(I177*IF(T177&lt;&gt;"",T177,IF(E177="농지",3,4))/100,10))</f>
        <v/>
      </c>
      <c r="AD177" s="7">
        <f>IF(I177="","",FLOOR(I177*IF(T177&lt;&gt;"",N(U177),0.2)/100,10))</f>
        <v/>
      </c>
      <c r="AE177" s="7">
        <f>IF(I177="","",FLOOR(I177*IF(T177&lt;&gt;"",N(V177),(IF(E177="농지",3,4)-2)*0.2)/100,10))</f>
        <v/>
      </c>
      <c r="AF177" s="7">
        <f>IF(N177="","",ROUND(N177*N(O177)/100*N(P177)/12,0))</f>
        <v/>
      </c>
      <c r="AG177" s="7">
        <f>IF(I177="","",I177+AC177+AD177+AE177+N(K177)+N(L177)+N(M177)+N(Q177)+N(AF177))</f>
        <v/>
      </c>
      <c r="AH177" s="7">
        <f>IF(OR(R177="",S177=""),"",ROUND(R177*S177/100,0))</f>
        <v/>
      </c>
      <c r="AI177" s="7">
        <f>IF(OR(AG177="",R177=""),"",R177-N(AH177)-AG177)</f>
        <v/>
      </c>
      <c r="AJ177" s="6">
        <f>IF(AI177="","",ROUND(AI177/AG177*100,1))</f>
        <v/>
      </c>
    </row>
    <row r="178">
      <c r="A178" s="3" t="n"/>
      <c r="B178" s="3" t="n"/>
      <c r="C178" s="4" t="n"/>
      <c r="D178" s="3" t="n"/>
      <c r="E178" s="3" t="n"/>
      <c r="F178" s="3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3" t="n"/>
      <c r="P178" s="3" t="n"/>
      <c r="Q178" s="5" t="n"/>
      <c r="R178" s="5" t="n"/>
      <c r="S178" s="3" t="n"/>
      <c r="T178" s="3" t="n"/>
      <c r="U178" s="3" t="n"/>
      <c r="V178" s="3" t="n"/>
      <c r="W178" s="3" t="n"/>
      <c r="X178" s="3" t="n"/>
      <c r="Y178" s="3" t="n"/>
      <c r="Z178" s="6">
        <f>IF(F178="","",ROUND(F178/3.305785,1))</f>
        <v/>
      </c>
      <c r="AA178" s="6">
        <f>IF(OR(G178="",I178=""),"",ROUND(I178/G178*100,1))</f>
        <v/>
      </c>
      <c r="AB178" s="7">
        <f>IF(OR(Z178="",I178=""),"",ROUND(I178/Z178,0))</f>
        <v/>
      </c>
      <c r="AC178" s="7">
        <f>IF(I178="","",FLOOR(I178*IF(T178&lt;&gt;"",T178,IF(E178="농지",3,4))/100,10))</f>
        <v/>
      </c>
      <c r="AD178" s="7">
        <f>IF(I178="","",FLOOR(I178*IF(T178&lt;&gt;"",N(U178),0.2)/100,10))</f>
        <v/>
      </c>
      <c r="AE178" s="7">
        <f>IF(I178="","",FLOOR(I178*IF(T178&lt;&gt;"",N(V178),(IF(E178="농지",3,4)-2)*0.2)/100,10))</f>
        <v/>
      </c>
      <c r="AF178" s="7">
        <f>IF(N178="","",ROUND(N178*N(O178)/100*N(P178)/12,0))</f>
        <v/>
      </c>
      <c r="AG178" s="7">
        <f>IF(I178="","",I178+AC178+AD178+AE178+N(K178)+N(L178)+N(M178)+N(Q178)+N(AF178))</f>
        <v/>
      </c>
      <c r="AH178" s="7">
        <f>IF(OR(R178="",S178=""),"",ROUND(R178*S178/100,0))</f>
        <v/>
      </c>
      <c r="AI178" s="7">
        <f>IF(OR(AG178="",R178=""),"",R178-N(AH178)-AG178)</f>
        <v/>
      </c>
      <c r="AJ178" s="6">
        <f>IF(AI178="","",ROUND(AI178/AG178*100,1))</f>
        <v/>
      </c>
    </row>
    <row r="179">
      <c r="A179" s="3" t="n"/>
      <c r="B179" s="3" t="n"/>
      <c r="C179" s="4" t="n"/>
      <c r="D179" s="3" t="n"/>
      <c r="E179" s="3" t="n"/>
      <c r="F179" s="3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3" t="n"/>
      <c r="P179" s="3" t="n"/>
      <c r="Q179" s="5" t="n"/>
      <c r="R179" s="5" t="n"/>
      <c r="S179" s="3" t="n"/>
      <c r="T179" s="3" t="n"/>
      <c r="U179" s="3" t="n"/>
      <c r="V179" s="3" t="n"/>
      <c r="W179" s="3" t="n"/>
      <c r="X179" s="3" t="n"/>
      <c r="Y179" s="3" t="n"/>
      <c r="Z179" s="6">
        <f>IF(F179="","",ROUND(F179/3.305785,1))</f>
        <v/>
      </c>
      <c r="AA179" s="6">
        <f>IF(OR(G179="",I179=""),"",ROUND(I179/G179*100,1))</f>
        <v/>
      </c>
      <c r="AB179" s="7">
        <f>IF(OR(Z179="",I179=""),"",ROUND(I179/Z179,0))</f>
        <v/>
      </c>
      <c r="AC179" s="7">
        <f>IF(I179="","",FLOOR(I179*IF(T179&lt;&gt;"",T179,IF(E179="농지",3,4))/100,10))</f>
        <v/>
      </c>
      <c r="AD179" s="7">
        <f>IF(I179="","",FLOOR(I179*IF(T179&lt;&gt;"",N(U179),0.2)/100,10))</f>
        <v/>
      </c>
      <c r="AE179" s="7">
        <f>IF(I179="","",FLOOR(I179*IF(T179&lt;&gt;"",N(V179),(IF(E179="농지",3,4)-2)*0.2)/100,10))</f>
        <v/>
      </c>
      <c r="AF179" s="7">
        <f>IF(N179="","",ROUND(N179*N(O179)/100*N(P179)/12,0))</f>
        <v/>
      </c>
      <c r="AG179" s="7">
        <f>IF(I179="","",I179+AC179+AD179+AE179+N(K179)+N(L179)+N(M179)+N(Q179)+N(AF179))</f>
        <v/>
      </c>
      <c r="AH179" s="7">
        <f>IF(OR(R179="",S179=""),"",ROUND(R179*S179/100,0))</f>
        <v/>
      </c>
      <c r="AI179" s="7">
        <f>IF(OR(AG179="",R179=""),"",R179-N(AH179)-AG179)</f>
        <v/>
      </c>
      <c r="AJ179" s="6">
        <f>IF(AI179="","",ROUND(AI179/AG179*100,1))</f>
        <v/>
      </c>
    </row>
    <row r="180">
      <c r="A180" s="3" t="n"/>
      <c r="B180" s="3" t="n"/>
      <c r="C180" s="4" t="n"/>
      <c r="D180" s="3" t="n"/>
      <c r="E180" s="3" t="n"/>
      <c r="F180" s="3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3" t="n"/>
      <c r="P180" s="3" t="n"/>
      <c r="Q180" s="5" t="n"/>
      <c r="R180" s="5" t="n"/>
      <c r="S180" s="3" t="n"/>
      <c r="T180" s="3" t="n"/>
      <c r="U180" s="3" t="n"/>
      <c r="V180" s="3" t="n"/>
      <c r="W180" s="3" t="n"/>
      <c r="X180" s="3" t="n"/>
      <c r="Y180" s="3" t="n"/>
      <c r="Z180" s="6">
        <f>IF(F180="","",ROUND(F180/3.305785,1))</f>
        <v/>
      </c>
      <c r="AA180" s="6">
        <f>IF(OR(G180="",I180=""),"",ROUND(I180/G180*100,1))</f>
        <v/>
      </c>
      <c r="AB180" s="7">
        <f>IF(OR(Z180="",I180=""),"",ROUND(I180/Z180,0))</f>
        <v/>
      </c>
      <c r="AC180" s="7">
        <f>IF(I180="","",FLOOR(I180*IF(T180&lt;&gt;"",T180,IF(E180="농지",3,4))/100,10))</f>
        <v/>
      </c>
      <c r="AD180" s="7">
        <f>IF(I180="","",FLOOR(I180*IF(T180&lt;&gt;"",N(U180),0.2)/100,10))</f>
        <v/>
      </c>
      <c r="AE180" s="7">
        <f>IF(I180="","",FLOOR(I180*IF(T180&lt;&gt;"",N(V180),(IF(E180="농지",3,4)-2)*0.2)/100,10))</f>
        <v/>
      </c>
      <c r="AF180" s="7">
        <f>IF(N180="","",ROUND(N180*N(O180)/100*N(P180)/12,0))</f>
        <v/>
      </c>
      <c r="AG180" s="7">
        <f>IF(I180="","",I180+AC180+AD180+AE180+N(K180)+N(L180)+N(M180)+N(Q180)+N(AF180))</f>
        <v/>
      </c>
      <c r="AH180" s="7">
        <f>IF(OR(R180="",S180=""),"",ROUND(R180*S180/100,0))</f>
        <v/>
      </c>
      <c r="AI180" s="7">
        <f>IF(OR(AG180="",R180=""),"",R180-N(AH180)-AG180)</f>
        <v/>
      </c>
      <c r="AJ180" s="6">
        <f>IF(AI180="","",ROUND(AI180/AG180*100,1))</f>
        <v/>
      </c>
    </row>
    <row r="181">
      <c r="A181" s="3" t="n"/>
      <c r="B181" s="3" t="n"/>
      <c r="C181" s="4" t="n"/>
      <c r="D181" s="3" t="n"/>
      <c r="E181" s="3" t="n"/>
      <c r="F181" s="3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3" t="n"/>
      <c r="P181" s="3" t="n"/>
      <c r="Q181" s="5" t="n"/>
      <c r="R181" s="5" t="n"/>
      <c r="S181" s="3" t="n"/>
      <c r="T181" s="3" t="n"/>
      <c r="U181" s="3" t="n"/>
      <c r="V181" s="3" t="n"/>
      <c r="W181" s="3" t="n"/>
      <c r="X181" s="3" t="n"/>
      <c r="Y181" s="3" t="n"/>
      <c r="Z181" s="6">
        <f>IF(F181="","",ROUND(F181/3.305785,1))</f>
        <v/>
      </c>
      <c r="AA181" s="6">
        <f>IF(OR(G181="",I181=""),"",ROUND(I181/G181*100,1))</f>
        <v/>
      </c>
      <c r="AB181" s="7">
        <f>IF(OR(Z181="",I181=""),"",ROUND(I181/Z181,0))</f>
        <v/>
      </c>
      <c r="AC181" s="7">
        <f>IF(I181="","",FLOOR(I181*IF(T181&lt;&gt;"",T181,IF(E181="농지",3,4))/100,10))</f>
        <v/>
      </c>
      <c r="AD181" s="7">
        <f>IF(I181="","",FLOOR(I181*IF(T181&lt;&gt;"",N(U181),0.2)/100,10))</f>
        <v/>
      </c>
      <c r="AE181" s="7">
        <f>IF(I181="","",FLOOR(I181*IF(T181&lt;&gt;"",N(V181),(IF(E181="농지",3,4)-2)*0.2)/100,10))</f>
        <v/>
      </c>
      <c r="AF181" s="7">
        <f>IF(N181="","",ROUND(N181*N(O181)/100*N(P181)/12,0))</f>
        <v/>
      </c>
      <c r="AG181" s="7">
        <f>IF(I181="","",I181+AC181+AD181+AE181+N(K181)+N(L181)+N(M181)+N(Q181)+N(AF181))</f>
        <v/>
      </c>
      <c r="AH181" s="7">
        <f>IF(OR(R181="",S181=""),"",ROUND(R181*S181/100,0))</f>
        <v/>
      </c>
      <c r="AI181" s="7">
        <f>IF(OR(AG181="",R181=""),"",R181-N(AH181)-AG181)</f>
        <v/>
      </c>
      <c r="AJ181" s="6">
        <f>IF(AI181="","",ROUND(AI181/AG181*100,1))</f>
        <v/>
      </c>
    </row>
    <row r="182">
      <c r="A182" s="3" t="n"/>
      <c r="B182" s="3" t="n"/>
      <c r="C182" s="4" t="n"/>
      <c r="D182" s="3" t="n"/>
      <c r="E182" s="3" t="n"/>
      <c r="F182" s="3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3" t="n"/>
      <c r="P182" s="3" t="n"/>
      <c r="Q182" s="5" t="n"/>
      <c r="R182" s="5" t="n"/>
      <c r="S182" s="3" t="n"/>
      <c r="T182" s="3" t="n"/>
      <c r="U182" s="3" t="n"/>
      <c r="V182" s="3" t="n"/>
      <c r="W182" s="3" t="n"/>
      <c r="X182" s="3" t="n"/>
      <c r="Y182" s="3" t="n"/>
      <c r="Z182" s="6">
        <f>IF(F182="","",ROUND(F182/3.305785,1))</f>
        <v/>
      </c>
      <c r="AA182" s="6">
        <f>IF(OR(G182="",I182=""),"",ROUND(I182/G182*100,1))</f>
        <v/>
      </c>
      <c r="AB182" s="7">
        <f>IF(OR(Z182="",I182=""),"",ROUND(I182/Z182,0))</f>
        <v/>
      </c>
      <c r="AC182" s="7">
        <f>IF(I182="","",FLOOR(I182*IF(T182&lt;&gt;"",T182,IF(E182="농지",3,4))/100,10))</f>
        <v/>
      </c>
      <c r="AD182" s="7">
        <f>IF(I182="","",FLOOR(I182*IF(T182&lt;&gt;"",N(U182),0.2)/100,10))</f>
        <v/>
      </c>
      <c r="AE182" s="7">
        <f>IF(I182="","",FLOOR(I182*IF(T182&lt;&gt;"",N(V182),(IF(E182="농지",3,4)-2)*0.2)/100,10))</f>
        <v/>
      </c>
      <c r="AF182" s="7">
        <f>IF(N182="","",ROUND(N182*N(O182)/100*N(P182)/12,0))</f>
        <v/>
      </c>
      <c r="AG182" s="7">
        <f>IF(I182="","",I182+AC182+AD182+AE182+N(K182)+N(L182)+N(M182)+N(Q182)+N(AF182))</f>
        <v/>
      </c>
      <c r="AH182" s="7">
        <f>IF(OR(R182="",S182=""),"",ROUND(R182*S182/100,0))</f>
        <v/>
      </c>
      <c r="AI182" s="7">
        <f>IF(OR(AG182="",R182=""),"",R182-N(AH182)-AG182)</f>
        <v/>
      </c>
      <c r="AJ182" s="6">
        <f>IF(AI182="","",ROUND(AI182/AG182*100,1))</f>
        <v/>
      </c>
    </row>
    <row r="183">
      <c r="A183" s="3" t="n"/>
      <c r="B183" s="3" t="n"/>
      <c r="C183" s="4" t="n"/>
      <c r="D183" s="3" t="n"/>
      <c r="E183" s="3" t="n"/>
      <c r="F183" s="3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3" t="n"/>
      <c r="P183" s="3" t="n"/>
      <c r="Q183" s="5" t="n"/>
      <c r="R183" s="5" t="n"/>
      <c r="S183" s="3" t="n"/>
      <c r="T183" s="3" t="n"/>
      <c r="U183" s="3" t="n"/>
      <c r="V183" s="3" t="n"/>
      <c r="W183" s="3" t="n"/>
      <c r="X183" s="3" t="n"/>
      <c r="Y183" s="3" t="n"/>
      <c r="Z183" s="6">
        <f>IF(F183="","",ROUND(F183/3.305785,1))</f>
        <v/>
      </c>
      <c r="AA183" s="6">
        <f>IF(OR(G183="",I183=""),"",ROUND(I183/G183*100,1))</f>
        <v/>
      </c>
      <c r="AB183" s="7">
        <f>IF(OR(Z183="",I183=""),"",ROUND(I183/Z183,0))</f>
        <v/>
      </c>
      <c r="AC183" s="7">
        <f>IF(I183="","",FLOOR(I183*IF(T183&lt;&gt;"",T183,IF(E183="농지",3,4))/100,10))</f>
        <v/>
      </c>
      <c r="AD183" s="7">
        <f>IF(I183="","",FLOOR(I183*IF(T183&lt;&gt;"",N(U183),0.2)/100,10))</f>
        <v/>
      </c>
      <c r="AE183" s="7">
        <f>IF(I183="","",FLOOR(I183*IF(T183&lt;&gt;"",N(V183),(IF(E183="농지",3,4)-2)*0.2)/100,10))</f>
        <v/>
      </c>
      <c r="AF183" s="7">
        <f>IF(N183="","",ROUND(N183*N(O183)/100*N(P183)/12,0))</f>
        <v/>
      </c>
      <c r="AG183" s="7">
        <f>IF(I183="","",I183+AC183+AD183+AE183+N(K183)+N(L183)+N(M183)+N(Q183)+N(AF183))</f>
        <v/>
      </c>
      <c r="AH183" s="7">
        <f>IF(OR(R183="",S183=""),"",ROUND(R183*S183/100,0))</f>
        <v/>
      </c>
      <c r="AI183" s="7">
        <f>IF(OR(AG183="",R183=""),"",R183-N(AH183)-AG183)</f>
        <v/>
      </c>
      <c r="AJ183" s="6">
        <f>IF(AI183="","",ROUND(AI183/AG183*100,1))</f>
        <v/>
      </c>
    </row>
    <row r="184">
      <c r="A184" s="3" t="n"/>
      <c r="B184" s="3" t="n"/>
      <c r="C184" s="4" t="n"/>
      <c r="D184" s="3" t="n"/>
      <c r="E184" s="3" t="n"/>
      <c r="F184" s="3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3" t="n"/>
      <c r="P184" s="3" t="n"/>
      <c r="Q184" s="5" t="n"/>
      <c r="R184" s="5" t="n"/>
      <c r="S184" s="3" t="n"/>
      <c r="T184" s="3" t="n"/>
      <c r="U184" s="3" t="n"/>
      <c r="V184" s="3" t="n"/>
      <c r="W184" s="3" t="n"/>
      <c r="X184" s="3" t="n"/>
      <c r="Y184" s="3" t="n"/>
      <c r="Z184" s="6">
        <f>IF(F184="","",ROUND(F184/3.305785,1))</f>
        <v/>
      </c>
      <c r="AA184" s="6">
        <f>IF(OR(G184="",I184=""),"",ROUND(I184/G184*100,1))</f>
        <v/>
      </c>
      <c r="AB184" s="7">
        <f>IF(OR(Z184="",I184=""),"",ROUND(I184/Z184,0))</f>
        <v/>
      </c>
      <c r="AC184" s="7">
        <f>IF(I184="","",FLOOR(I184*IF(T184&lt;&gt;"",T184,IF(E184="농지",3,4))/100,10))</f>
        <v/>
      </c>
      <c r="AD184" s="7">
        <f>IF(I184="","",FLOOR(I184*IF(T184&lt;&gt;"",N(U184),0.2)/100,10))</f>
        <v/>
      </c>
      <c r="AE184" s="7">
        <f>IF(I184="","",FLOOR(I184*IF(T184&lt;&gt;"",N(V184),(IF(E184="농지",3,4)-2)*0.2)/100,10))</f>
        <v/>
      </c>
      <c r="AF184" s="7">
        <f>IF(N184="","",ROUND(N184*N(O184)/100*N(P184)/12,0))</f>
        <v/>
      </c>
      <c r="AG184" s="7">
        <f>IF(I184="","",I184+AC184+AD184+AE184+N(K184)+N(L184)+N(M184)+N(Q184)+N(AF184))</f>
        <v/>
      </c>
      <c r="AH184" s="7">
        <f>IF(OR(R184="",S184=""),"",ROUND(R184*S184/100,0))</f>
        <v/>
      </c>
      <c r="AI184" s="7">
        <f>IF(OR(AG184="",R184=""),"",R184-N(AH184)-AG184)</f>
        <v/>
      </c>
      <c r="AJ184" s="6">
        <f>IF(AI184="","",ROUND(AI184/AG184*100,1))</f>
        <v/>
      </c>
    </row>
    <row r="185">
      <c r="A185" s="3" t="n"/>
      <c r="B185" s="3" t="n"/>
      <c r="C185" s="4" t="n"/>
      <c r="D185" s="3" t="n"/>
      <c r="E185" s="3" t="n"/>
      <c r="F185" s="3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3" t="n"/>
      <c r="P185" s="3" t="n"/>
      <c r="Q185" s="5" t="n"/>
      <c r="R185" s="5" t="n"/>
      <c r="S185" s="3" t="n"/>
      <c r="T185" s="3" t="n"/>
      <c r="U185" s="3" t="n"/>
      <c r="V185" s="3" t="n"/>
      <c r="W185" s="3" t="n"/>
      <c r="X185" s="3" t="n"/>
      <c r="Y185" s="3" t="n"/>
      <c r="Z185" s="6">
        <f>IF(F185="","",ROUND(F185/3.305785,1))</f>
        <v/>
      </c>
      <c r="AA185" s="6">
        <f>IF(OR(G185="",I185=""),"",ROUND(I185/G185*100,1))</f>
        <v/>
      </c>
      <c r="AB185" s="7">
        <f>IF(OR(Z185="",I185=""),"",ROUND(I185/Z185,0))</f>
        <v/>
      </c>
      <c r="AC185" s="7">
        <f>IF(I185="","",FLOOR(I185*IF(T185&lt;&gt;"",T185,IF(E185="농지",3,4))/100,10))</f>
        <v/>
      </c>
      <c r="AD185" s="7">
        <f>IF(I185="","",FLOOR(I185*IF(T185&lt;&gt;"",N(U185),0.2)/100,10))</f>
        <v/>
      </c>
      <c r="AE185" s="7">
        <f>IF(I185="","",FLOOR(I185*IF(T185&lt;&gt;"",N(V185),(IF(E185="농지",3,4)-2)*0.2)/100,10))</f>
        <v/>
      </c>
      <c r="AF185" s="7">
        <f>IF(N185="","",ROUND(N185*N(O185)/100*N(P185)/12,0))</f>
        <v/>
      </c>
      <c r="AG185" s="7">
        <f>IF(I185="","",I185+AC185+AD185+AE185+N(K185)+N(L185)+N(M185)+N(Q185)+N(AF185))</f>
        <v/>
      </c>
      <c r="AH185" s="7">
        <f>IF(OR(R185="",S185=""),"",ROUND(R185*S185/100,0))</f>
        <v/>
      </c>
      <c r="AI185" s="7">
        <f>IF(OR(AG185="",R185=""),"",R185-N(AH185)-AG185)</f>
        <v/>
      </c>
      <c r="AJ185" s="6">
        <f>IF(AI185="","",ROUND(AI185/AG185*100,1))</f>
        <v/>
      </c>
    </row>
    <row r="186">
      <c r="A186" s="3" t="n"/>
      <c r="B186" s="3" t="n"/>
      <c r="C186" s="4" t="n"/>
      <c r="D186" s="3" t="n"/>
      <c r="E186" s="3" t="n"/>
      <c r="F186" s="3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3" t="n"/>
      <c r="P186" s="3" t="n"/>
      <c r="Q186" s="5" t="n"/>
      <c r="R186" s="5" t="n"/>
      <c r="S186" s="3" t="n"/>
      <c r="T186" s="3" t="n"/>
      <c r="U186" s="3" t="n"/>
      <c r="V186" s="3" t="n"/>
      <c r="W186" s="3" t="n"/>
      <c r="X186" s="3" t="n"/>
      <c r="Y186" s="3" t="n"/>
      <c r="Z186" s="6">
        <f>IF(F186="","",ROUND(F186/3.305785,1))</f>
        <v/>
      </c>
      <c r="AA186" s="6">
        <f>IF(OR(G186="",I186=""),"",ROUND(I186/G186*100,1))</f>
        <v/>
      </c>
      <c r="AB186" s="7">
        <f>IF(OR(Z186="",I186=""),"",ROUND(I186/Z186,0))</f>
        <v/>
      </c>
      <c r="AC186" s="7">
        <f>IF(I186="","",FLOOR(I186*IF(T186&lt;&gt;"",T186,IF(E186="농지",3,4))/100,10))</f>
        <v/>
      </c>
      <c r="AD186" s="7">
        <f>IF(I186="","",FLOOR(I186*IF(T186&lt;&gt;"",N(U186),0.2)/100,10))</f>
        <v/>
      </c>
      <c r="AE186" s="7">
        <f>IF(I186="","",FLOOR(I186*IF(T186&lt;&gt;"",N(V186),(IF(E186="농지",3,4)-2)*0.2)/100,10))</f>
        <v/>
      </c>
      <c r="AF186" s="7">
        <f>IF(N186="","",ROUND(N186*N(O186)/100*N(P186)/12,0))</f>
        <v/>
      </c>
      <c r="AG186" s="7">
        <f>IF(I186="","",I186+AC186+AD186+AE186+N(K186)+N(L186)+N(M186)+N(Q186)+N(AF186))</f>
        <v/>
      </c>
      <c r="AH186" s="7">
        <f>IF(OR(R186="",S186=""),"",ROUND(R186*S186/100,0))</f>
        <v/>
      </c>
      <c r="AI186" s="7">
        <f>IF(OR(AG186="",R186=""),"",R186-N(AH186)-AG186)</f>
        <v/>
      </c>
      <c r="AJ186" s="6">
        <f>IF(AI186="","",ROUND(AI186/AG186*100,1))</f>
        <v/>
      </c>
    </row>
    <row r="187">
      <c r="A187" s="3" t="n"/>
      <c r="B187" s="3" t="n"/>
      <c r="C187" s="4" t="n"/>
      <c r="D187" s="3" t="n"/>
      <c r="E187" s="3" t="n"/>
      <c r="F187" s="3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3" t="n"/>
      <c r="P187" s="3" t="n"/>
      <c r="Q187" s="5" t="n"/>
      <c r="R187" s="5" t="n"/>
      <c r="S187" s="3" t="n"/>
      <c r="T187" s="3" t="n"/>
      <c r="U187" s="3" t="n"/>
      <c r="V187" s="3" t="n"/>
      <c r="W187" s="3" t="n"/>
      <c r="X187" s="3" t="n"/>
      <c r="Y187" s="3" t="n"/>
      <c r="Z187" s="6">
        <f>IF(F187="","",ROUND(F187/3.305785,1))</f>
        <v/>
      </c>
      <c r="AA187" s="6">
        <f>IF(OR(G187="",I187=""),"",ROUND(I187/G187*100,1))</f>
        <v/>
      </c>
      <c r="AB187" s="7">
        <f>IF(OR(Z187="",I187=""),"",ROUND(I187/Z187,0))</f>
        <v/>
      </c>
      <c r="AC187" s="7">
        <f>IF(I187="","",FLOOR(I187*IF(T187&lt;&gt;"",T187,IF(E187="농지",3,4))/100,10))</f>
        <v/>
      </c>
      <c r="AD187" s="7">
        <f>IF(I187="","",FLOOR(I187*IF(T187&lt;&gt;"",N(U187),0.2)/100,10))</f>
        <v/>
      </c>
      <c r="AE187" s="7">
        <f>IF(I187="","",FLOOR(I187*IF(T187&lt;&gt;"",N(V187),(IF(E187="농지",3,4)-2)*0.2)/100,10))</f>
        <v/>
      </c>
      <c r="AF187" s="7">
        <f>IF(N187="","",ROUND(N187*N(O187)/100*N(P187)/12,0))</f>
        <v/>
      </c>
      <c r="AG187" s="7">
        <f>IF(I187="","",I187+AC187+AD187+AE187+N(K187)+N(L187)+N(M187)+N(Q187)+N(AF187))</f>
        <v/>
      </c>
      <c r="AH187" s="7">
        <f>IF(OR(R187="",S187=""),"",ROUND(R187*S187/100,0))</f>
        <v/>
      </c>
      <c r="AI187" s="7">
        <f>IF(OR(AG187="",R187=""),"",R187-N(AH187)-AG187)</f>
        <v/>
      </c>
      <c r="AJ187" s="6">
        <f>IF(AI187="","",ROUND(AI187/AG187*100,1))</f>
        <v/>
      </c>
    </row>
    <row r="188">
      <c r="A188" s="3" t="n"/>
      <c r="B188" s="3" t="n"/>
      <c r="C188" s="4" t="n"/>
      <c r="D188" s="3" t="n"/>
      <c r="E188" s="3" t="n"/>
      <c r="F188" s="3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3" t="n"/>
      <c r="P188" s="3" t="n"/>
      <c r="Q188" s="5" t="n"/>
      <c r="R188" s="5" t="n"/>
      <c r="S188" s="3" t="n"/>
      <c r="T188" s="3" t="n"/>
      <c r="U188" s="3" t="n"/>
      <c r="V188" s="3" t="n"/>
      <c r="W188" s="3" t="n"/>
      <c r="X188" s="3" t="n"/>
      <c r="Y188" s="3" t="n"/>
      <c r="Z188" s="6">
        <f>IF(F188="","",ROUND(F188/3.305785,1))</f>
        <v/>
      </c>
      <c r="AA188" s="6">
        <f>IF(OR(G188="",I188=""),"",ROUND(I188/G188*100,1))</f>
        <v/>
      </c>
      <c r="AB188" s="7">
        <f>IF(OR(Z188="",I188=""),"",ROUND(I188/Z188,0))</f>
        <v/>
      </c>
      <c r="AC188" s="7">
        <f>IF(I188="","",FLOOR(I188*IF(T188&lt;&gt;"",T188,IF(E188="농지",3,4))/100,10))</f>
        <v/>
      </c>
      <c r="AD188" s="7">
        <f>IF(I188="","",FLOOR(I188*IF(T188&lt;&gt;"",N(U188),0.2)/100,10))</f>
        <v/>
      </c>
      <c r="AE188" s="7">
        <f>IF(I188="","",FLOOR(I188*IF(T188&lt;&gt;"",N(V188),(IF(E188="농지",3,4)-2)*0.2)/100,10))</f>
        <v/>
      </c>
      <c r="AF188" s="7">
        <f>IF(N188="","",ROUND(N188*N(O188)/100*N(P188)/12,0))</f>
        <v/>
      </c>
      <c r="AG188" s="7">
        <f>IF(I188="","",I188+AC188+AD188+AE188+N(K188)+N(L188)+N(M188)+N(Q188)+N(AF188))</f>
        <v/>
      </c>
      <c r="AH188" s="7">
        <f>IF(OR(R188="",S188=""),"",ROUND(R188*S188/100,0))</f>
        <v/>
      </c>
      <c r="AI188" s="7">
        <f>IF(OR(AG188="",R188=""),"",R188-N(AH188)-AG188)</f>
        <v/>
      </c>
      <c r="AJ188" s="6">
        <f>IF(AI188="","",ROUND(AI188/AG188*100,1))</f>
        <v/>
      </c>
    </row>
    <row r="189">
      <c r="A189" s="3" t="n"/>
      <c r="B189" s="3" t="n"/>
      <c r="C189" s="4" t="n"/>
      <c r="D189" s="3" t="n"/>
      <c r="E189" s="3" t="n"/>
      <c r="F189" s="3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3" t="n"/>
      <c r="P189" s="3" t="n"/>
      <c r="Q189" s="5" t="n"/>
      <c r="R189" s="5" t="n"/>
      <c r="S189" s="3" t="n"/>
      <c r="T189" s="3" t="n"/>
      <c r="U189" s="3" t="n"/>
      <c r="V189" s="3" t="n"/>
      <c r="W189" s="3" t="n"/>
      <c r="X189" s="3" t="n"/>
      <c r="Y189" s="3" t="n"/>
      <c r="Z189" s="6">
        <f>IF(F189="","",ROUND(F189/3.305785,1))</f>
        <v/>
      </c>
      <c r="AA189" s="6">
        <f>IF(OR(G189="",I189=""),"",ROUND(I189/G189*100,1))</f>
        <v/>
      </c>
      <c r="AB189" s="7">
        <f>IF(OR(Z189="",I189=""),"",ROUND(I189/Z189,0))</f>
        <v/>
      </c>
      <c r="AC189" s="7">
        <f>IF(I189="","",FLOOR(I189*IF(T189&lt;&gt;"",T189,IF(E189="농지",3,4))/100,10))</f>
        <v/>
      </c>
      <c r="AD189" s="7">
        <f>IF(I189="","",FLOOR(I189*IF(T189&lt;&gt;"",N(U189),0.2)/100,10))</f>
        <v/>
      </c>
      <c r="AE189" s="7">
        <f>IF(I189="","",FLOOR(I189*IF(T189&lt;&gt;"",N(V189),(IF(E189="농지",3,4)-2)*0.2)/100,10))</f>
        <v/>
      </c>
      <c r="AF189" s="7">
        <f>IF(N189="","",ROUND(N189*N(O189)/100*N(P189)/12,0))</f>
        <v/>
      </c>
      <c r="AG189" s="7">
        <f>IF(I189="","",I189+AC189+AD189+AE189+N(K189)+N(L189)+N(M189)+N(Q189)+N(AF189))</f>
        <v/>
      </c>
      <c r="AH189" s="7">
        <f>IF(OR(R189="",S189=""),"",ROUND(R189*S189/100,0))</f>
        <v/>
      </c>
      <c r="AI189" s="7">
        <f>IF(OR(AG189="",R189=""),"",R189-N(AH189)-AG189)</f>
        <v/>
      </c>
      <c r="AJ189" s="6">
        <f>IF(AI189="","",ROUND(AI189/AG189*100,1))</f>
        <v/>
      </c>
    </row>
    <row r="190">
      <c r="A190" s="3" t="n"/>
      <c r="B190" s="3" t="n"/>
      <c r="C190" s="4" t="n"/>
      <c r="D190" s="3" t="n"/>
      <c r="E190" s="3" t="n"/>
      <c r="F190" s="3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3" t="n"/>
      <c r="P190" s="3" t="n"/>
      <c r="Q190" s="5" t="n"/>
      <c r="R190" s="5" t="n"/>
      <c r="S190" s="3" t="n"/>
      <c r="T190" s="3" t="n"/>
      <c r="U190" s="3" t="n"/>
      <c r="V190" s="3" t="n"/>
      <c r="W190" s="3" t="n"/>
      <c r="X190" s="3" t="n"/>
      <c r="Y190" s="3" t="n"/>
      <c r="Z190" s="6">
        <f>IF(F190="","",ROUND(F190/3.305785,1))</f>
        <v/>
      </c>
      <c r="AA190" s="6">
        <f>IF(OR(G190="",I190=""),"",ROUND(I190/G190*100,1))</f>
        <v/>
      </c>
      <c r="AB190" s="7">
        <f>IF(OR(Z190="",I190=""),"",ROUND(I190/Z190,0))</f>
        <v/>
      </c>
      <c r="AC190" s="7">
        <f>IF(I190="","",FLOOR(I190*IF(T190&lt;&gt;"",T190,IF(E190="농지",3,4))/100,10))</f>
        <v/>
      </c>
      <c r="AD190" s="7">
        <f>IF(I190="","",FLOOR(I190*IF(T190&lt;&gt;"",N(U190),0.2)/100,10))</f>
        <v/>
      </c>
      <c r="AE190" s="7">
        <f>IF(I190="","",FLOOR(I190*IF(T190&lt;&gt;"",N(V190),(IF(E190="농지",3,4)-2)*0.2)/100,10))</f>
        <v/>
      </c>
      <c r="AF190" s="7">
        <f>IF(N190="","",ROUND(N190*N(O190)/100*N(P190)/12,0))</f>
        <v/>
      </c>
      <c r="AG190" s="7">
        <f>IF(I190="","",I190+AC190+AD190+AE190+N(K190)+N(L190)+N(M190)+N(Q190)+N(AF190))</f>
        <v/>
      </c>
      <c r="AH190" s="7">
        <f>IF(OR(R190="",S190=""),"",ROUND(R190*S190/100,0))</f>
        <v/>
      </c>
      <c r="AI190" s="7">
        <f>IF(OR(AG190="",R190=""),"",R190-N(AH190)-AG190)</f>
        <v/>
      </c>
      <c r="AJ190" s="6">
        <f>IF(AI190="","",ROUND(AI190/AG190*100,1))</f>
        <v/>
      </c>
    </row>
    <row r="191">
      <c r="A191" s="3" t="n"/>
      <c r="B191" s="3" t="n"/>
      <c r="C191" s="4" t="n"/>
      <c r="D191" s="3" t="n"/>
      <c r="E191" s="3" t="n"/>
      <c r="F191" s="3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3" t="n"/>
      <c r="P191" s="3" t="n"/>
      <c r="Q191" s="5" t="n"/>
      <c r="R191" s="5" t="n"/>
      <c r="S191" s="3" t="n"/>
      <c r="T191" s="3" t="n"/>
      <c r="U191" s="3" t="n"/>
      <c r="V191" s="3" t="n"/>
      <c r="W191" s="3" t="n"/>
      <c r="X191" s="3" t="n"/>
      <c r="Y191" s="3" t="n"/>
      <c r="Z191" s="6">
        <f>IF(F191="","",ROUND(F191/3.305785,1))</f>
        <v/>
      </c>
      <c r="AA191" s="6">
        <f>IF(OR(G191="",I191=""),"",ROUND(I191/G191*100,1))</f>
        <v/>
      </c>
      <c r="AB191" s="7">
        <f>IF(OR(Z191="",I191=""),"",ROUND(I191/Z191,0))</f>
        <v/>
      </c>
      <c r="AC191" s="7">
        <f>IF(I191="","",FLOOR(I191*IF(T191&lt;&gt;"",T191,IF(E191="농지",3,4))/100,10))</f>
        <v/>
      </c>
      <c r="AD191" s="7">
        <f>IF(I191="","",FLOOR(I191*IF(T191&lt;&gt;"",N(U191),0.2)/100,10))</f>
        <v/>
      </c>
      <c r="AE191" s="7">
        <f>IF(I191="","",FLOOR(I191*IF(T191&lt;&gt;"",N(V191),(IF(E191="농지",3,4)-2)*0.2)/100,10))</f>
        <v/>
      </c>
      <c r="AF191" s="7">
        <f>IF(N191="","",ROUND(N191*N(O191)/100*N(P191)/12,0))</f>
        <v/>
      </c>
      <c r="AG191" s="7">
        <f>IF(I191="","",I191+AC191+AD191+AE191+N(K191)+N(L191)+N(M191)+N(Q191)+N(AF191))</f>
        <v/>
      </c>
      <c r="AH191" s="7">
        <f>IF(OR(R191="",S191=""),"",ROUND(R191*S191/100,0))</f>
        <v/>
      </c>
      <c r="AI191" s="7">
        <f>IF(OR(AG191="",R191=""),"",R191-N(AH191)-AG191)</f>
        <v/>
      </c>
      <c r="AJ191" s="6">
        <f>IF(AI191="","",ROUND(AI191/AG191*100,1))</f>
        <v/>
      </c>
    </row>
    <row r="192">
      <c r="A192" s="3" t="n"/>
      <c r="B192" s="3" t="n"/>
      <c r="C192" s="4" t="n"/>
      <c r="D192" s="3" t="n"/>
      <c r="E192" s="3" t="n"/>
      <c r="F192" s="3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3" t="n"/>
      <c r="P192" s="3" t="n"/>
      <c r="Q192" s="5" t="n"/>
      <c r="R192" s="5" t="n"/>
      <c r="S192" s="3" t="n"/>
      <c r="T192" s="3" t="n"/>
      <c r="U192" s="3" t="n"/>
      <c r="V192" s="3" t="n"/>
      <c r="W192" s="3" t="n"/>
      <c r="X192" s="3" t="n"/>
      <c r="Y192" s="3" t="n"/>
      <c r="Z192" s="6">
        <f>IF(F192="","",ROUND(F192/3.305785,1))</f>
        <v/>
      </c>
      <c r="AA192" s="6">
        <f>IF(OR(G192="",I192=""),"",ROUND(I192/G192*100,1))</f>
        <v/>
      </c>
      <c r="AB192" s="7">
        <f>IF(OR(Z192="",I192=""),"",ROUND(I192/Z192,0))</f>
        <v/>
      </c>
      <c r="AC192" s="7">
        <f>IF(I192="","",FLOOR(I192*IF(T192&lt;&gt;"",T192,IF(E192="농지",3,4))/100,10))</f>
        <v/>
      </c>
      <c r="AD192" s="7">
        <f>IF(I192="","",FLOOR(I192*IF(T192&lt;&gt;"",N(U192),0.2)/100,10))</f>
        <v/>
      </c>
      <c r="AE192" s="7">
        <f>IF(I192="","",FLOOR(I192*IF(T192&lt;&gt;"",N(V192),(IF(E192="농지",3,4)-2)*0.2)/100,10))</f>
        <v/>
      </c>
      <c r="AF192" s="7">
        <f>IF(N192="","",ROUND(N192*N(O192)/100*N(P192)/12,0))</f>
        <v/>
      </c>
      <c r="AG192" s="7">
        <f>IF(I192="","",I192+AC192+AD192+AE192+N(K192)+N(L192)+N(M192)+N(Q192)+N(AF192))</f>
        <v/>
      </c>
      <c r="AH192" s="7">
        <f>IF(OR(R192="",S192=""),"",ROUND(R192*S192/100,0))</f>
        <v/>
      </c>
      <c r="AI192" s="7">
        <f>IF(OR(AG192="",R192=""),"",R192-N(AH192)-AG192)</f>
        <v/>
      </c>
      <c r="AJ192" s="6">
        <f>IF(AI192="","",ROUND(AI192/AG192*100,1))</f>
        <v/>
      </c>
    </row>
    <row r="193">
      <c r="A193" s="3" t="n"/>
      <c r="B193" s="3" t="n"/>
      <c r="C193" s="4" t="n"/>
      <c r="D193" s="3" t="n"/>
      <c r="E193" s="3" t="n"/>
      <c r="F193" s="3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3" t="n"/>
      <c r="P193" s="3" t="n"/>
      <c r="Q193" s="5" t="n"/>
      <c r="R193" s="5" t="n"/>
      <c r="S193" s="3" t="n"/>
      <c r="T193" s="3" t="n"/>
      <c r="U193" s="3" t="n"/>
      <c r="V193" s="3" t="n"/>
      <c r="W193" s="3" t="n"/>
      <c r="X193" s="3" t="n"/>
      <c r="Y193" s="3" t="n"/>
      <c r="Z193" s="6">
        <f>IF(F193="","",ROUND(F193/3.305785,1))</f>
        <v/>
      </c>
      <c r="AA193" s="6">
        <f>IF(OR(G193="",I193=""),"",ROUND(I193/G193*100,1))</f>
        <v/>
      </c>
      <c r="AB193" s="7">
        <f>IF(OR(Z193="",I193=""),"",ROUND(I193/Z193,0))</f>
        <v/>
      </c>
      <c r="AC193" s="7">
        <f>IF(I193="","",FLOOR(I193*IF(T193&lt;&gt;"",T193,IF(E193="농지",3,4))/100,10))</f>
        <v/>
      </c>
      <c r="AD193" s="7">
        <f>IF(I193="","",FLOOR(I193*IF(T193&lt;&gt;"",N(U193),0.2)/100,10))</f>
        <v/>
      </c>
      <c r="AE193" s="7">
        <f>IF(I193="","",FLOOR(I193*IF(T193&lt;&gt;"",N(V193),(IF(E193="농지",3,4)-2)*0.2)/100,10))</f>
        <v/>
      </c>
      <c r="AF193" s="7">
        <f>IF(N193="","",ROUND(N193*N(O193)/100*N(P193)/12,0))</f>
        <v/>
      </c>
      <c r="AG193" s="7">
        <f>IF(I193="","",I193+AC193+AD193+AE193+N(K193)+N(L193)+N(M193)+N(Q193)+N(AF193))</f>
        <v/>
      </c>
      <c r="AH193" s="7">
        <f>IF(OR(R193="",S193=""),"",ROUND(R193*S193/100,0))</f>
        <v/>
      </c>
      <c r="AI193" s="7">
        <f>IF(OR(AG193="",R193=""),"",R193-N(AH193)-AG193)</f>
        <v/>
      </c>
      <c r="AJ193" s="6">
        <f>IF(AI193="","",ROUND(AI193/AG193*100,1))</f>
        <v/>
      </c>
    </row>
    <row r="194">
      <c r="A194" s="3" t="n"/>
      <c r="B194" s="3" t="n"/>
      <c r="C194" s="4" t="n"/>
      <c r="D194" s="3" t="n"/>
      <c r="E194" s="3" t="n"/>
      <c r="F194" s="3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3" t="n"/>
      <c r="P194" s="3" t="n"/>
      <c r="Q194" s="5" t="n"/>
      <c r="R194" s="5" t="n"/>
      <c r="S194" s="3" t="n"/>
      <c r="T194" s="3" t="n"/>
      <c r="U194" s="3" t="n"/>
      <c r="V194" s="3" t="n"/>
      <c r="W194" s="3" t="n"/>
      <c r="X194" s="3" t="n"/>
      <c r="Y194" s="3" t="n"/>
      <c r="Z194" s="6">
        <f>IF(F194="","",ROUND(F194/3.305785,1))</f>
        <v/>
      </c>
      <c r="AA194" s="6">
        <f>IF(OR(G194="",I194=""),"",ROUND(I194/G194*100,1))</f>
        <v/>
      </c>
      <c r="AB194" s="7">
        <f>IF(OR(Z194="",I194=""),"",ROUND(I194/Z194,0))</f>
        <v/>
      </c>
      <c r="AC194" s="7">
        <f>IF(I194="","",FLOOR(I194*IF(T194&lt;&gt;"",T194,IF(E194="농지",3,4))/100,10))</f>
        <v/>
      </c>
      <c r="AD194" s="7">
        <f>IF(I194="","",FLOOR(I194*IF(T194&lt;&gt;"",N(U194),0.2)/100,10))</f>
        <v/>
      </c>
      <c r="AE194" s="7">
        <f>IF(I194="","",FLOOR(I194*IF(T194&lt;&gt;"",N(V194),(IF(E194="농지",3,4)-2)*0.2)/100,10))</f>
        <v/>
      </c>
      <c r="AF194" s="7">
        <f>IF(N194="","",ROUND(N194*N(O194)/100*N(P194)/12,0))</f>
        <v/>
      </c>
      <c r="AG194" s="7">
        <f>IF(I194="","",I194+AC194+AD194+AE194+N(K194)+N(L194)+N(M194)+N(Q194)+N(AF194))</f>
        <v/>
      </c>
      <c r="AH194" s="7">
        <f>IF(OR(R194="",S194=""),"",ROUND(R194*S194/100,0))</f>
        <v/>
      </c>
      <c r="AI194" s="7">
        <f>IF(OR(AG194="",R194=""),"",R194-N(AH194)-AG194)</f>
        <v/>
      </c>
      <c r="AJ194" s="6">
        <f>IF(AI194="","",ROUND(AI194/AG194*100,1))</f>
        <v/>
      </c>
    </row>
    <row r="195">
      <c r="A195" s="3" t="n"/>
      <c r="B195" s="3" t="n"/>
      <c r="C195" s="4" t="n"/>
      <c r="D195" s="3" t="n"/>
      <c r="E195" s="3" t="n"/>
      <c r="F195" s="3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3" t="n"/>
      <c r="P195" s="3" t="n"/>
      <c r="Q195" s="5" t="n"/>
      <c r="R195" s="5" t="n"/>
      <c r="S195" s="3" t="n"/>
      <c r="T195" s="3" t="n"/>
      <c r="U195" s="3" t="n"/>
      <c r="V195" s="3" t="n"/>
      <c r="W195" s="3" t="n"/>
      <c r="X195" s="3" t="n"/>
      <c r="Y195" s="3" t="n"/>
      <c r="Z195" s="6">
        <f>IF(F195="","",ROUND(F195/3.305785,1))</f>
        <v/>
      </c>
      <c r="AA195" s="6">
        <f>IF(OR(G195="",I195=""),"",ROUND(I195/G195*100,1))</f>
        <v/>
      </c>
      <c r="AB195" s="7">
        <f>IF(OR(Z195="",I195=""),"",ROUND(I195/Z195,0))</f>
        <v/>
      </c>
      <c r="AC195" s="7">
        <f>IF(I195="","",FLOOR(I195*IF(T195&lt;&gt;"",T195,IF(E195="농지",3,4))/100,10))</f>
        <v/>
      </c>
      <c r="AD195" s="7">
        <f>IF(I195="","",FLOOR(I195*IF(T195&lt;&gt;"",N(U195),0.2)/100,10))</f>
        <v/>
      </c>
      <c r="AE195" s="7">
        <f>IF(I195="","",FLOOR(I195*IF(T195&lt;&gt;"",N(V195),(IF(E195="농지",3,4)-2)*0.2)/100,10))</f>
        <v/>
      </c>
      <c r="AF195" s="7">
        <f>IF(N195="","",ROUND(N195*N(O195)/100*N(P195)/12,0))</f>
        <v/>
      </c>
      <c r="AG195" s="7">
        <f>IF(I195="","",I195+AC195+AD195+AE195+N(K195)+N(L195)+N(M195)+N(Q195)+N(AF195))</f>
        <v/>
      </c>
      <c r="AH195" s="7">
        <f>IF(OR(R195="",S195=""),"",ROUND(R195*S195/100,0))</f>
        <v/>
      </c>
      <c r="AI195" s="7">
        <f>IF(OR(AG195="",R195=""),"",R195-N(AH195)-AG195)</f>
        <v/>
      </c>
      <c r="AJ195" s="6">
        <f>IF(AI195="","",ROUND(AI195/AG195*100,1))</f>
        <v/>
      </c>
    </row>
    <row r="196">
      <c r="A196" s="3" t="n"/>
      <c r="B196" s="3" t="n"/>
      <c r="C196" s="4" t="n"/>
      <c r="D196" s="3" t="n"/>
      <c r="E196" s="3" t="n"/>
      <c r="F196" s="3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3" t="n"/>
      <c r="P196" s="3" t="n"/>
      <c r="Q196" s="5" t="n"/>
      <c r="R196" s="5" t="n"/>
      <c r="S196" s="3" t="n"/>
      <c r="T196" s="3" t="n"/>
      <c r="U196" s="3" t="n"/>
      <c r="V196" s="3" t="n"/>
      <c r="W196" s="3" t="n"/>
      <c r="X196" s="3" t="n"/>
      <c r="Y196" s="3" t="n"/>
      <c r="Z196" s="6">
        <f>IF(F196="","",ROUND(F196/3.305785,1))</f>
        <v/>
      </c>
      <c r="AA196" s="6">
        <f>IF(OR(G196="",I196=""),"",ROUND(I196/G196*100,1))</f>
        <v/>
      </c>
      <c r="AB196" s="7">
        <f>IF(OR(Z196="",I196=""),"",ROUND(I196/Z196,0))</f>
        <v/>
      </c>
      <c r="AC196" s="7">
        <f>IF(I196="","",FLOOR(I196*IF(T196&lt;&gt;"",T196,IF(E196="농지",3,4))/100,10))</f>
        <v/>
      </c>
      <c r="AD196" s="7">
        <f>IF(I196="","",FLOOR(I196*IF(T196&lt;&gt;"",N(U196),0.2)/100,10))</f>
        <v/>
      </c>
      <c r="AE196" s="7">
        <f>IF(I196="","",FLOOR(I196*IF(T196&lt;&gt;"",N(V196),(IF(E196="농지",3,4)-2)*0.2)/100,10))</f>
        <v/>
      </c>
      <c r="AF196" s="7">
        <f>IF(N196="","",ROUND(N196*N(O196)/100*N(P196)/12,0))</f>
        <v/>
      </c>
      <c r="AG196" s="7">
        <f>IF(I196="","",I196+AC196+AD196+AE196+N(K196)+N(L196)+N(M196)+N(Q196)+N(AF196))</f>
        <v/>
      </c>
      <c r="AH196" s="7">
        <f>IF(OR(R196="",S196=""),"",ROUND(R196*S196/100,0))</f>
        <v/>
      </c>
      <c r="AI196" s="7">
        <f>IF(OR(AG196="",R196=""),"",R196-N(AH196)-AG196)</f>
        <v/>
      </c>
      <c r="AJ196" s="6">
        <f>IF(AI196="","",ROUND(AI196/AG196*100,1))</f>
        <v/>
      </c>
    </row>
    <row r="197">
      <c r="A197" s="3" t="n"/>
      <c r="B197" s="3" t="n"/>
      <c r="C197" s="4" t="n"/>
      <c r="D197" s="3" t="n"/>
      <c r="E197" s="3" t="n"/>
      <c r="F197" s="3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3" t="n"/>
      <c r="P197" s="3" t="n"/>
      <c r="Q197" s="5" t="n"/>
      <c r="R197" s="5" t="n"/>
      <c r="S197" s="3" t="n"/>
      <c r="T197" s="3" t="n"/>
      <c r="U197" s="3" t="n"/>
      <c r="V197" s="3" t="n"/>
      <c r="W197" s="3" t="n"/>
      <c r="X197" s="3" t="n"/>
      <c r="Y197" s="3" t="n"/>
      <c r="Z197" s="6">
        <f>IF(F197="","",ROUND(F197/3.305785,1))</f>
        <v/>
      </c>
      <c r="AA197" s="6">
        <f>IF(OR(G197="",I197=""),"",ROUND(I197/G197*100,1))</f>
        <v/>
      </c>
      <c r="AB197" s="7">
        <f>IF(OR(Z197="",I197=""),"",ROUND(I197/Z197,0))</f>
        <v/>
      </c>
      <c r="AC197" s="7">
        <f>IF(I197="","",FLOOR(I197*IF(T197&lt;&gt;"",T197,IF(E197="농지",3,4))/100,10))</f>
        <v/>
      </c>
      <c r="AD197" s="7">
        <f>IF(I197="","",FLOOR(I197*IF(T197&lt;&gt;"",N(U197),0.2)/100,10))</f>
        <v/>
      </c>
      <c r="AE197" s="7">
        <f>IF(I197="","",FLOOR(I197*IF(T197&lt;&gt;"",N(V197),(IF(E197="농지",3,4)-2)*0.2)/100,10))</f>
        <v/>
      </c>
      <c r="AF197" s="7">
        <f>IF(N197="","",ROUND(N197*N(O197)/100*N(P197)/12,0))</f>
        <v/>
      </c>
      <c r="AG197" s="7">
        <f>IF(I197="","",I197+AC197+AD197+AE197+N(K197)+N(L197)+N(M197)+N(Q197)+N(AF197))</f>
        <v/>
      </c>
      <c r="AH197" s="7">
        <f>IF(OR(R197="",S197=""),"",ROUND(R197*S197/100,0))</f>
        <v/>
      </c>
      <c r="AI197" s="7">
        <f>IF(OR(AG197="",R197=""),"",R197-N(AH197)-AG197)</f>
        <v/>
      </c>
      <c r="AJ197" s="6">
        <f>IF(AI197="","",ROUND(AI197/AG197*100,1))</f>
        <v/>
      </c>
    </row>
    <row r="198">
      <c r="A198" s="3" t="n"/>
      <c r="B198" s="3" t="n"/>
      <c r="C198" s="4" t="n"/>
      <c r="D198" s="3" t="n"/>
      <c r="E198" s="3" t="n"/>
      <c r="F198" s="3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3" t="n"/>
      <c r="P198" s="3" t="n"/>
      <c r="Q198" s="5" t="n"/>
      <c r="R198" s="5" t="n"/>
      <c r="S198" s="3" t="n"/>
      <c r="T198" s="3" t="n"/>
      <c r="U198" s="3" t="n"/>
      <c r="V198" s="3" t="n"/>
      <c r="W198" s="3" t="n"/>
      <c r="X198" s="3" t="n"/>
      <c r="Y198" s="3" t="n"/>
      <c r="Z198" s="6">
        <f>IF(F198="","",ROUND(F198/3.305785,1))</f>
        <v/>
      </c>
      <c r="AA198" s="6">
        <f>IF(OR(G198="",I198=""),"",ROUND(I198/G198*100,1))</f>
        <v/>
      </c>
      <c r="AB198" s="7">
        <f>IF(OR(Z198="",I198=""),"",ROUND(I198/Z198,0))</f>
        <v/>
      </c>
      <c r="AC198" s="7">
        <f>IF(I198="","",FLOOR(I198*IF(T198&lt;&gt;"",T198,IF(E198="농지",3,4))/100,10))</f>
        <v/>
      </c>
      <c r="AD198" s="7">
        <f>IF(I198="","",FLOOR(I198*IF(T198&lt;&gt;"",N(U198),0.2)/100,10))</f>
        <v/>
      </c>
      <c r="AE198" s="7">
        <f>IF(I198="","",FLOOR(I198*IF(T198&lt;&gt;"",N(V198),(IF(E198="농지",3,4)-2)*0.2)/100,10))</f>
        <v/>
      </c>
      <c r="AF198" s="7">
        <f>IF(N198="","",ROUND(N198*N(O198)/100*N(P198)/12,0))</f>
        <v/>
      </c>
      <c r="AG198" s="7">
        <f>IF(I198="","",I198+AC198+AD198+AE198+N(K198)+N(L198)+N(M198)+N(Q198)+N(AF198))</f>
        <v/>
      </c>
      <c r="AH198" s="7">
        <f>IF(OR(R198="",S198=""),"",ROUND(R198*S198/100,0))</f>
        <v/>
      </c>
      <c r="AI198" s="7">
        <f>IF(OR(AG198="",R198=""),"",R198-N(AH198)-AG198)</f>
        <v/>
      </c>
      <c r="AJ198" s="6">
        <f>IF(AI198="","",ROUND(AI198/AG198*100,1))</f>
        <v/>
      </c>
    </row>
    <row r="199">
      <c r="A199" s="3" t="n"/>
      <c r="B199" s="3" t="n"/>
      <c r="C199" s="4" t="n"/>
      <c r="D199" s="3" t="n"/>
      <c r="E199" s="3" t="n"/>
      <c r="F199" s="3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3" t="n"/>
      <c r="P199" s="3" t="n"/>
      <c r="Q199" s="5" t="n"/>
      <c r="R199" s="5" t="n"/>
      <c r="S199" s="3" t="n"/>
      <c r="T199" s="3" t="n"/>
      <c r="U199" s="3" t="n"/>
      <c r="V199" s="3" t="n"/>
      <c r="W199" s="3" t="n"/>
      <c r="X199" s="3" t="n"/>
      <c r="Y199" s="3" t="n"/>
      <c r="Z199" s="6">
        <f>IF(F199="","",ROUND(F199/3.305785,1))</f>
        <v/>
      </c>
      <c r="AA199" s="6">
        <f>IF(OR(G199="",I199=""),"",ROUND(I199/G199*100,1))</f>
        <v/>
      </c>
      <c r="AB199" s="7">
        <f>IF(OR(Z199="",I199=""),"",ROUND(I199/Z199,0))</f>
        <v/>
      </c>
      <c r="AC199" s="7">
        <f>IF(I199="","",FLOOR(I199*IF(T199&lt;&gt;"",T199,IF(E199="농지",3,4))/100,10))</f>
        <v/>
      </c>
      <c r="AD199" s="7">
        <f>IF(I199="","",FLOOR(I199*IF(T199&lt;&gt;"",N(U199),0.2)/100,10))</f>
        <v/>
      </c>
      <c r="AE199" s="7">
        <f>IF(I199="","",FLOOR(I199*IF(T199&lt;&gt;"",N(V199),(IF(E199="농지",3,4)-2)*0.2)/100,10))</f>
        <v/>
      </c>
      <c r="AF199" s="7">
        <f>IF(N199="","",ROUND(N199*N(O199)/100*N(P199)/12,0))</f>
        <v/>
      </c>
      <c r="AG199" s="7">
        <f>IF(I199="","",I199+AC199+AD199+AE199+N(K199)+N(L199)+N(M199)+N(Q199)+N(AF199))</f>
        <v/>
      </c>
      <c r="AH199" s="7">
        <f>IF(OR(R199="",S199=""),"",ROUND(R199*S199/100,0))</f>
        <v/>
      </c>
      <c r="AI199" s="7">
        <f>IF(OR(AG199="",R199=""),"",R199-N(AH199)-AG199)</f>
        <v/>
      </c>
      <c r="AJ199" s="6">
        <f>IF(AI199="","",ROUND(AI199/AG199*100,1))</f>
        <v/>
      </c>
    </row>
    <row r="200">
      <c r="A200" s="3" t="n"/>
      <c r="B200" s="3" t="n"/>
      <c r="C200" s="4" t="n"/>
      <c r="D200" s="3" t="n"/>
      <c r="E200" s="3" t="n"/>
      <c r="F200" s="3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3" t="n"/>
      <c r="P200" s="3" t="n"/>
      <c r="Q200" s="5" t="n"/>
      <c r="R200" s="5" t="n"/>
      <c r="S200" s="3" t="n"/>
      <c r="T200" s="3" t="n"/>
      <c r="U200" s="3" t="n"/>
      <c r="V200" s="3" t="n"/>
      <c r="W200" s="3" t="n"/>
      <c r="X200" s="3" t="n"/>
      <c r="Y200" s="3" t="n"/>
      <c r="Z200" s="6">
        <f>IF(F200="","",ROUND(F200/3.305785,1))</f>
        <v/>
      </c>
      <c r="AA200" s="6">
        <f>IF(OR(G200="",I200=""),"",ROUND(I200/G200*100,1))</f>
        <v/>
      </c>
      <c r="AB200" s="7">
        <f>IF(OR(Z200="",I200=""),"",ROUND(I200/Z200,0))</f>
        <v/>
      </c>
      <c r="AC200" s="7">
        <f>IF(I200="","",FLOOR(I200*IF(T200&lt;&gt;"",T200,IF(E200="농지",3,4))/100,10))</f>
        <v/>
      </c>
      <c r="AD200" s="7">
        <f>IF(I200="","",FLOOR(I200*IF(T200&lt;&gt;"",N(U200),0.2)/100,10))</f>
        <v/>
      </c>
      <c r="AE200" s="7">
        <f>IF(I200="","",FLOOR(I200*IF(T200&lt;&gt;"",N(V200),(IF(E200="농지",3,4)-2)*0.2)/100,10))</f>
        <v/>
      </c>
      <c r="AF200" s="7">
        <f>IF(N200="","",ROUND(N200*N(O200)/100*N(P200)/12,0))</f>
        <v/>
      </c>
      <c r="AG200" s="7">
        <f>IF(I200="","",I200+AC200+AD200+AE200+N(K200)+N(L200)+N(M200)+N(Q200)+N(AF200))</f>
        <v/>
      </c>
      <c r="AH200" s="7">
        <f>IF(OR(R200="",S200=""),"",ROUND(R200*S200/100,0))</f>
        <v/>
      </c>
      <c r="AI200" s="7">
        <f>IF(OR(AG200="",R200=""),"",R200-N(AH200)-AG200)</f>
        <v/>
      </c>
      <c r="AJ200" s="6">
        <f>IF(AI200="","",ROUND(AI200/AG200*100,1))</f>
        <v/>
      </c>
    </row>
    <row r="201">
      <c r="A201" s="3" t="n"/>
      <c r="B201" s="3" t="n"/>
      <c r="C201" s="4" t="n"/>
      <c r="D201" s="3" t="n"/>
      <c r="E201" s="3" t="n"/>
      <c r="F201" s="3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3" t="n"/>
      <c r="P201" s="3" t="n"/>
      <c r="Q201" s="5" t="n"/>
      <c r="R201" s="5" t="n"/>
      <c r="S201" s="3" t="n"/>
      <c r="T201" s="3" t="n"/>
      <c r="U201" s="3" t="n"/>
      <c r="V201" s="3" t="n"/>
      <c r="W201" s="3" t="n"/>
      <c r="X201" s="3" t="n"/>
      <c r="Y201" s="3" t="n"/>
      <c r="Z201" s="6">
        <f>IF(F201="","",ROUND(F201/3.305785,1))</f>
        <v/>
      </c>
      <c r="AA201" s="6">
        <f>IF(OR(G201="",I201=""),"",ROUND(I201/G201*100,1))</f>
        <v/>
      </c>
      <c r="AB201" s="7">
        <f>IF(OR(Z201="",I201=""),"",ROUND(I201/Z201,0))</f>
        <v/>
      </c>
      <c r="AC201" s="7">
        <f>IF(I201="","",FLOOR(I201*IF(T201&lt;&gt;"",T201,IF(E201="농지",3,4))/100,10))</f>
        <v/>
      </c>
      <c r="AD201" s="7">
        <f>IF(I201="","",FLOOR(I201*IF(T201&lt;&gt;"",N(U201),0.2)/100,10))</f>
        <v/>
      </c>
      <c r="AE201" s="7">
        <f>IF(I201="","",FLOOR(I201*IF(T201&lt;&gt;"",N(V201),(IF(E201="농지",3,4)-2)*0.2)/100,10))</f>
        <v/>
      </c>
      <c r="AF201" s="7">
        <f>IF(N201="","",ROUND(N201*N(O201)/100*N(P201)/12,0))</f>
        <v/>
      </c>
      <c r="AG201" s="7">
        <f>IF(I201="","",I201+AC201+AD201+AE201+N(K201)+N(L201)+N(M201)+N(Q201)+N(AF201))</f>
        <v/>
      </c>
      <c r="AH201" s="7">
        <f>IF(OR(R201="",S201=""),"",ROUND(R201*S201/100,0))</f>
        <v/>
      </c>
      <c r="AI201" s="7">
        <f>IF(OR(AG201="",R201=""),"",R201-N(AH201)-AG201)</f>
        <v/>
      </c>
      <c r="AJ201" s="6">
        <f>IF(AI201="","",ROUND(AI201/AG201*100,1))</f>
        <v/>
      </c>
    </row>
    <row r="202">
      <c r="A202" s="3" t="n"/>
      <c r="B202" s="3" t="n"/>
      <c r="C202" s="4" t="n"/>
      <c r="D202" s="3" t="n"/>
      <c r="E202" s="3" t="n"/>
      <c r="F202" s="3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3" t="n"/>
      <c r="P202" s="3" t="n"/>
      <c r="Q202" s="5" t="n"/>
      <c r="R202" s="5" t="n"/>
      <c r="S202" s="3" t="n"/>
      <c r="T202" s="3" t="n"/>
      <c r="U202" s="3" t="n"/>
      <c r="V202" s="3" t="n"/>
      <c r="W202" s="3" t="n"/>
      <c r="X202" s="3" t="n"/>
      <c r="Y202" s="3" t="n"/>
      <c r="Z202" s="6">
        <f>IF(F202="","",ROUND(F202/3.305785,1))</f>
        <v/>
      </c>
      <c r="AA202" s="6">
        <f>IF(OR(G202="",I202=""),"",ROUND(I202/G202*100,1))</f>
        <v/>
      </c>
      <c r="AB202" s="7">
        <f>IF(OR(Z202="",I202=""),"",ROUND(I202/Z202,0))</f>
        <v/>
      </c>
      <c r="AC202" s="7">
        <f>IF(I202="","",FLOOR(I202*IF(T202&lt;&gt;"",T202,IF(E202="농지",3,4))/100,10))</f>
        <v/>
      </c>
      <c r="AD202" s="7">
        <f>IF(I202="","",FLOOR(I202*IF(T202&lt;&gt;"",N(U202),0.2)/100,10))</f>
        <v/>
      </c>
      <c r="AE202" s="7">
        <f>IF(I202="","",FLOOR(I202*IF(T202&lt;&gt;"",N(V202),(IF(E202="농지",3,4)-2)*0.2)/100,10))</f>
        <v/>
      </c>
      <c r="AF202" s="7">
        <f>IF(N202="","",ROUND(N202*N(O202)/100*N(P202)/12,0))</f>
        <v/>
      </c>
      <c r="AG202" s="7">
        <f>IF(I202="","",I202+AC202+AD202+AE202+N(K202)+N(L202)+N(M202)+N(Q202)+N(AF202))</f>
        <v/>
      </c>
      <c r="AH202" s="7">
        <f>IF(OR(R202="",S202=""),"",ROUND(R202*S202/100,0))</f>
        <v/>
      </c>
      <c r="AI202" s="7">
        <f>IF(OR(AG202="",R202=""),"",R202-N(AH202)-AG202)</f>
        <v/>
      </c>
      <c r="AJ202" s="6">
        <f>IF(AI202="","",ROUND(AI202/AG202*100,1))</f>
        <v/>
      </c>
    </row>
    <row r="203">
      <c r="A203" s="3" t="n"/>
      <c r="B203" s="3" t="n"/>
      <c r="C203" s="4" t="n"/>
      <c r="D203" s="3" t="n"/>
      <c r="E203" s="3" t="n"/>
      <c r="F203" s="3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3" t="n"/>
      <c r="P203" s="3" t="n"/>
      <c r="Q203" s="5" t="n"/>
      <c r="R203" s="5" t="n"/>
      <c r="S203" s="3" t="n"/>
      <c r="T203" s="3" t="n"/>
      <c r="U203" s="3" t="n"/>
      <c r="V203" s="3" t="n"/>
      <c r="W203" s="3" t="n"/>
      <c r="X203" s="3" t="n"/>
      <c r="Y203" s="3" t="n"/>
      <c r="Z203" s="6">
        <f>IF(F203="","",ROUND(F203/3.305785,1))</f>
        <v/>
      </c>
      <c r="AA203" s="6">
        <f>IF(OR(G203="",I203=""),"",ROUND(I203/G203*100,1))</f>
        <v/>
      </c>
      <c r="AB203" s="7">
        <f>IF(OR(Z203="",I203=""),"",ROUND(I203/Z203,0))</f>
        <v/>
      </c>
      <c r="AC203" s="7">
        <f>IF(I203="","",FLOOR(I203*IF(T203&lt;&gt;"",T203,IF(E203="농지",3,4))/100,10))</f>
        <v/>
      </c>
      <c r="AD203" s="7">
        <f>IF(I203="","",FLOOR(I203*IF(T203&lt;&gt;"",N(U203),0.2)/100,10))</f>
        <v/>
      </c>
      <c r="AE203" s="7">
        <f>IF(I203="","",FLOOR(I203*IF(T203&lt;&gt;"",N(V203),(IF(E203="농지",3,4)-2)*0.2)/100,10))</f>
        <v/>
      </c>
      <c r="AF203" s="7">
        <f>IF(N203="","",ROUND(N203*N(O203)/100*N(P203)/12,0))</f>
        <v/>
      </c>
      <c r="AG203" s="7">
        <f>IF(I203="","",I203+AC203+AD203+AE203+N(K203)+N(L203)+N(M203)+N(Q203)+N(AF203))</f>
        <v/>
      </c>
      <c r="AH203" s="7">
        <f>IF(OR(R203="",S203=""),"",ROUND(R203*S203/100,0))</f>
        <v/>
      </c>
      <c r="AI203" s="7">
        <f>IF(OR(AG203="",R203=""),"",R203-N(AH203)-AG203)</f>
        <v/>
      </c>
      <c r="AJ203" s="6">
        <f>IF(AI203="","",ROUND(AI203/AG203*100,1))</f>
        <v/>
      </c>
    </row>
    <row r="204">
      <c r="A204" s="3" t="n"/>
      <c r="B204" s="3" t="n"/>
      <c r="C204" s="4" t="n"/>
      <c r="D204" s="3" t="n"/>
      <c r="E204" s="3" t="n"/>
      <c r="F204" s="3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3" t="n"/>
      <c r="P204" s="3" t="n"/>
      <c r="Q204" s="5" t="n"/>
      <c r="R204" s="5" t="n"/>
      <c r="S204" s="3" t="n"/>
      <c r="T204" s="3" t="n"/>
      <c r="U204" s="3" t="n"/>
      <c r="V204" s="3" t="n"/>
      <c r="W204" s="3" t="n"/>
      <c r="X204" s="3" t="n"/>
      <c r="Y204" s="3" t="n"/>
      <c r="Z204" s="6">
        <f>IF(F204="","",ROUND(F204/3.305785,1))</f>
        <v/>
      </c>
      <c r="AA204" s="6">
        <f>IF(OR(G204="",I204=""),"",ROUND(I204/G204*100,1))</f>
        <v/>
      </c>
      <c r="AB204" s="7">
        <f>IF(OR(Z204="",I204=""),"",ROUND(I204/Z204,0))</f>
        <v/>
      </c>
      <c r="AC204" s="7">
        <f>IF(I204="","",FLOOR(I204*IF(T204&lt;&gt;"",T204,IF(E204="농지",3,4))/100,10))</f>
        <v/>
      </c>
      <c r="AD204" s="7">
        <f>IF(I204="","",FLOOR(I204*IF(T204&lt;&gt;"",N(U204),0.2)/100,10))</f>
        <v/>
      </c>
      <c r="AE204" s="7">
        <f>IF(I204="","",FLOOR(I204*IF(T204&lt;&gt;"",N(V204),(IF(E204="농지",3,4)-2)*0.2)/100,10))</f>
        <v/>
      </c>
      <c r="AF204" s="7">
        <f>IF(N204="","",ROUND(N204*N(O204)/100*N(P204)/12,0))</f>
        <v/>
      </c>
      <c r="AG204" s="7">
        <f>IF(I204="","",I204+AC204+AD204+AE204+N(K204)+N(L204)+N(M204)+N(Q204)+N(AF204))</f>
        <v/>
      </c>
      <c r="AH204" s="7">
        <f>IF(OR(R204="",S204=""),"",ROUND(R204*S204/100,0))</f>
        <v/>
      </c>
      <c r="AI204" s="7">
        <f>IF(OR(AG204="",R204=""),"",R204-N(AH204)-AG204)</f>
        <v/>
      </c>
      <c r="AJ204" s="6">
        <f>IF(AI204="","",ROUND(AI204/AG204*100,1))</f>
        <v/>
      </c>
    </row>
    <row r="205">
      <c r="A205" s="3" t="n"/>
      <c r="B205" s="3" t="n"/>
      <c r="C205" s="4" t="n"/>
      <c r="D205" s="3" t="n"/>
      <c r="E205" s="3" t="n"/>
      <c r="F205" s="3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3" t="n"/>
      <c r="P205" s="3" t="n"/>
      <c r="Q205" s="5" t="n"/>
      <c r="R205" s="5" t="n"/>
      <c r="S205" s="3" t="n"/>
      <c r="T205" s="3" t="n"/>
      <c r="U205" s="3" t="n"/>
      <c r="V205" s="3" t="n"/>
      <c r="W205" s="3" t="n"/>
      <c r="X205" s="3" t="n"/>
      <c r="Y205" s="3" t="n"/>
      <c r="Z205" s="6">
        <f>IF(F205="","",ROUND(F205/3.305785,1))</f>
        <v/>
      </c>
      <c r="AA205" s="6">
        <f>IF(OR(G205="",I205=""),"",ROUND(I205/G205*100,1))</f>
        <v/>
      </c>
      <c r="AB205" s="7">
        <f>IF(OR(Z205="",I205=""),"",ROUND(I205/Z205,0))</f>
        <v/>
      </c>
      <c r="AC205" s="7">
        <f>IF(I205="","",FLOOR(I205*IF(T205&lt;&gt;"",T205,IF(E205="농지",3,4))/100,10))</f>
        <v/>
      </c>
      <c r="AD205" s="7">
        <f>IF(I205="","",FLOOR(I205*IF(T205&lt;&gt;"",N(U205),0.2)/100,10))</f>
        <v/>
      </c>
      <c r="AE205" s="7">
        <f>IF(I205="","",FLOOR(I205*IF(T205&lt;&gt;"",N(V205),(IF(E205="농지",3,4)-2)*0.2)/100,10))</f>
        <v/>
      </c>
      <c r="AF205" s="7">
        <f>IF(N205="","",ROUND(N205*N(O205)/100*N(P205)/12,0))</f>
        <v/>
      </c>
      <c r="AG205" s="7">
        <f>IF(I205="","",I205+AC205+AD205+AE205+N(K205)+N(L205)+N(M205)+N(Q205)+N(AF205))</f>
        <v/>
      </c>
      <c r="AH205" s="7">
        <f>IF(OR(R205="",S205=""),"",ROUND(R205*S205/100,0))</f>
        <v/>
      </c>
      <c r="AI205" s="7">
        <f>IF(OR(AG205="",R205=""),"",R205-N(AH205)-AG205)</f>
        <v/>
      </c>
      <c r="AJ205" s="6">
        <f>IF(AI205="","",ROUND(AI205/AG205*100,1))</f>
        <v/>
      </c>
    </row>
    <row r="206">
      <c r="A206" s="3" t="n"/>
      <c r="B206" s="3" t="n"/>
      <c r="C206" s="4" t="n"/>
      <c r="D206" s="3" t="n"/>
      <c r="E206" s="3" t="n"/>
      <c r="F206" s="3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3" t="n"/>
      <c r="P206" s="3" t="n"/>
      <c r="Q206" s="5" t="n"/>
      <c r="R206" s="5" t="n"/>
      <c r="S206" s="3" t="n"/>
      <c r="T206" s="3" t="n"/>
      <c r="U206" s="3" t="n"/>
      <c r="V206" s="3" t="n"/>
      <c r="W206" s="3" t="n"/>
      <c r="X206" s="3" t="n"/>
      <c r="Y206" s="3" t="n"/>
      <c r="Z206" s="6">
        <f>IF(F206="","",ROUND(F206/3.305785,1))</f>
        <v/>
      </c>
      <c r="AA206" s="6">
        <f>IF(OR(G206="",I206=""),"",ROUND(I206/G206*100,1))</f>
        <v/>
      </c>
      <c r="AB206" s="7">
        <f>IF(OR(Z206="",I206=""),"",ROUND(I206/Z206,0))</f>
        <v/>
      </c>
      <c r="AC206" s="7">
        <f>IF(I206="","",FLOOR(I206*IF(T206&lt;&gt;"",T206,IF(E206="농지",3,4))/100,10))</f>
        <v/>
      </c>
      <c r="AD206" s="7">
        <f>IF(I206="","",FLOOR(I206*IF(T206&lt;&gt;"",N(U206),0.2)/100,10))</f>
        <v/>
      </c>
      <c r="AE206" s="7">
        <f>IF(I206="","",FLOOR(I206*IF(T206&lt;&gt;"",N(V206),(IF(E206="농지",3,4)-2)*0.2)/100,10))</f>
        <v/>
      </c>
      <c r="AF206" s="7">
        <f>IF(N206="","",ROUND(N206*N(O206)/100*N(P206)/12,0))</f>
        <v/>
      </c>
      <c r="AG206" s="7">
        <f>IF(I206="","",I206+AC206+AD206+AE206+N(K206)+N(L206)+N(M206)+N(Q206)+N(AF206))</f>
        <v/>
      </c>
      <c r="AH206" s="7">
        <f>IF(OR(R206="",S206=""),"",ROUND(R206*S206/100,0))</f>
        <v/>
      </c>
      <c r="AI206" s="7">
        <f>IF(OR(AG206="",R206=""),"",R206-N(AH206)-AG206)</f>
        <v/>
      </c>
      <c r="AJ206" s="6">
        <f>IF(AI206="","",ROUND(AI206/AG206*100,1))</f>
        <v/>
      </c>
    </row>
    <row r="207">
      <c r="A207" s="3" t="n"/>
      <c r="B207" s="3" t="n"/>
      <c r="C207" s="4" t="n"/>
      <c r="D207" s="3" t="n"/>
      <c r="E207" s="3" t="n"/>
      <c r="F207" s="3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3" t="n"/>
      <c r="P207" s="3" t="n"/>
      <c r="Q207" s="5" t="n"/>
      <c r="R207" s="5" t="n"/>
      <c r="S207" s="3" t="n"/>
      <c r="T207" s="3" t="n"/>
      <c r="U207" s="3" t="n"/>
      <c r="V207" s="3" t="n"/>
      <c r="W207" s="3" t="n"/>
      <c r="X207" s="3" t="n"/>
      <c r="Y207" s="3" t="n"/>
      <c r="Z207" s="6">
        <f>IF(F207="","",ROUND(F207/3.305785,1))</f>
        <v/>
      </c>
      <c r="AA207" s="6">
        <f>IF(OR(G207="",I207=""),"",ROUND(I207/G207*100,1))</f>
        <v/>
      </c>
      <c r="AB207" s="7">
        <f>IF(OR(Z207="",I207=""),"",ROUND(I207/Z207,0))</f>
        <v/>
      </c>
      <c r="AC207" s="7">
        <f>IF(I207="","",FLOOR(I207*IF(T207&lt;&gt;"",T207,IF(E207="농지",3,4))/100,10))</f>
        <v/>
      </c>
      <c r="AD207" s="7">
        <f>IF(I207="","",FLOOR(I207*IF(T207&lt;&gt;"",N(U207),0.2)/100,10))</f>
        <v/>
      </c>
      <c r="AE207" s="7">
        <f>IF(I207="","",FLOOR(I207*IF(T207&lt;&gt;"",N(V207),(IF(E207="농지",3,4)-2)*0.2)/100,10))</f>
        <v/>
      </c>
      <c r="AF207" s="7">
        <f>IF(N207="","",ROUND(N207*N(O207)/100*N(P207)/12,0))</f>
        <v/>
      </c>
      <c r="AG207" s="7">
        <f>IF(I207="","",I207+AC207+AD207+AE207+N(K207)+N(L207)+N(M207)+N(Q207)+N(AF207))</f>
        <v/>
      </c>
      <c r="AH207" s="7">
        <f>IF(OR(R207="",S207=""),"",ROUND(R207*S207/100,0))</f>
        <v/>
      </c>
      <c r="AI207" s="7">
        <f>IF(OR(AG207="",R207=""),"",R207-N(AH207)-AG207)</f>
        <v/>
      </c>
      <c r="AJ207" s="6">
        <f>IF(AI207="","",ROUND(AI207/AG207*100,1))</f>
        <v/>
      </c>
    </row>
    <row r="208">
      <c r="A208" s="3" t="n"/>
      <c r="B208" s="3" t="n"/>
      <c r="C208" s="4" t="n"/>
      <c r="D208" s="3" t="n"/>
      <c r="E208" s="3" t="n"/>
      <c r="F208" s="3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3" t="n"/>
      <c r="P208" s="3" t="n"/>
      <c r="Q208" s="5" t="n"/>
      <c r="R208" s="5" t="n"/>
      <c r="S208" s="3" t="n"/>
      <c r="T208" s="3" t="n"/>
      <c r="U208" s="3" t="n"/>
      <c r="V208" s="3" t="n"/>
      <c r="W208" s="3" t="n"/>
      <c r="X208" s="3" t="n"/>
      <c r="Y208" s="3" t="n"/>
      <c r="Z208" s="6">
        <f>IF(F208="","",ROUND(F208/3.305785,1))</f>
        <v/>
      </c>
      <c r="AA208" s="6">
        <f>IF(OR(G208="",I208=""),"",ROUND(I208/G208*100,1))</f>
        <v/>
      </c>
      <c r="AB208" s="7">
        <f>IF(OR(Z208="",I208=""),"",ROUND(I208/Z208,0))</f>
        <v/>
      </c>
      <c r="AC208" s="7">
        <f>IF(I208="","",FLOOR(I208*IF(T208&lt;&gt;"",T208,IF(E208="농지",3,4))/100,10))</f>
        <v/>
      </c>
      <c r="AD208" s="7">
        <f>IF(I208="","",FLOOR(I208*IF(T208&lt;&gt;"",N(U208),0.2)/100,10))</f>
        <v/>
      </c>
      <c r="AE208" s="7">
        <f>IF(I208="","",FLOOR(I208*IF(T208&lt;&gt;"",N(V208),(IF(E208="농지",3,4)-2)*0.2)/100,10))</f>
        <v/>
      </c>
      <c r="AF208" s="7">
        <f>IF(N208="","",ROUND(N208*N(O208)/100*N(P208)/12,0))</f>
        <v/>
      </c>
      <c r="AG208" s="7">
        <f>IF(I208="","",I208+AC208+AD208+AE208+N(K208)+N(L208)+N(M208)+N(Q208)+N(AF208))</f>
        <v/>
      </c>
      <c r="AH208" s="7">
        <f>IF(OR(R208="",S208=""),"",ROUND(R208*S208/100,0))</f>
        <v/>
      </c>
      <c r="AI208" s="7">
        <f>IF(OR(AG208="",R208=""),"",R208-N(AH208)-AG208)</f>
        <v/>
      </c>
      <c r="AJ208" s="6">
        <f>IF(AI208="","",ROUND(AI208/AG208*100,1))</f>
        <v/>
      </c>
    </row>
    <row r="209">
      <c r="A209" s="3" t="n"/>
      <c r="B209" s="3" t="n"/>
      <c r="C209" s="4" t="n"/>
      <c r="D209" s="3" t="n"/>
      <c r="E209" s="3" t="n"/>
      <c r="F209" s="3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3" t="n"/>
      <c r="P209" s="3" t="n"/>
      <c r="Q209" s="5" t="n"/>
      <c r="R209" s="5" t="n"/>
      <c r="S209" s="3" t="n"/>
      <c r="T209" s="3" t="n"/>
      <c r="U209" s="3" t="n"/>
      <c r="V209" s="3" t="n"/>
      <c r="W209" s="3" t="n"/>
      <c r="X209" s="3" t="n"/>
      <c r="Y209" s="3" t="n"/>
      <c r="Z209" s="6">
        <f>IF(F209="","",ROUND(F209/3.305785,1))</f>
        <v/>
      </c>
      <c r="AA209" s="6">
        <f>IF(OR(G209="",I209=""),"",ROUND(I209/G209*100,1))</f>
        <v/>
      </c>
      <c r="AB209" s="7">
        <f>IF(OR(Z209="",I209=""),"",ROUND(I209/Z209,0))</f>
        <v/>
      </c>
      <c r="AC209" s="7">
        <f>IF(I209="","",FLOOR(I209*IF(T209&lt;&gt;"",T209,IF(E209="농지",3,4))/100,10))</f>
        <v/>
      </c>
      <c r="AD209" s="7">
        <f>IF(I209="","",FLOOR(I209*IF(T209&lt;&gt;"",N(U209),0.2)/100,10))</f>
        <v/>
      </c>
      <c r="AE209" s="7">
        <f>IF(I209="","",FLOOR(I209*IF(T209&lt;&gt;"",N(V209),(IF(E209="농지",3,4)-2)*0.2)/100,10))</f>
        <v/>
      </c>
      <c r="AF209" s="7">
        <f>IF(N209="","",ROUND(N209*N(O209)/100*N(P209)/12,0))</f>
        <v/>
      </c>
      <c r="AG209" s="7">
        <f>IF(I209="","",I209+AC209+AD209+AE209+N(K209)+N(L209)+N(M209)+N(Q209)+N(AF209))</f>
        <v/>
      </c>
      <c r="AH209" s="7">
        <f>IF(OR(R209="",S209=""),"",ROUND(R209*S209/100,0))</f>
        <v/>
      </c>
      <c r="AI209" s="7">
        <f>IF(OR(AG209="",R209=""),"",R209-N(AH209)-AG209)</f>
        <v/>
      </c>
      <c r="AJ209" s="6">
        <f>IF(AI209="","",ROUND(AI209/AG209*100,1))</f>
        <v/>
      </c>
    </row>
    <row r="210">
      <c r="A210" s="3" t="n"/>
      <c r="B210" s="3" t="n"/>
      <c r="C210" s="4" t="n"/>
      <c r="D210" s="3" t="n"/>
      <c r="E210" s="3" t="n"/>
      <c r="F210" s="3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3" t="n"/>
      <c r="P210" s="3" t="n"/>
      <c r="Q210" s="5" t="n"/>
      <c r="R210" s="5" t="n"/>
      <c r="S210" s="3" t="n"/>
      <c r="T210" s="3" t="n"/>
      <c r="U210" s="3" t="n"/>
      <c r="V210" s="3" t="n"/>
      <c r="W210" s="3" t="n"/>
      <c r="X210" s="3" t="n"/>
      <c r="Y210" s="3" t="n"/>
      <c r="Z210" s="6">
        <f>IF(F210="","",ROUND(F210/3.305785,1))</f>
        <v/>
      </c>
      <c r="AA210" s="6">
        <f>IF(OR(G210="",I210=""),"",ROUND(I210/G210*100,1))</f>
        <v/>
      </c>
      <c r="AB210" s="7">
        <f>IF(OR(Z210="",I210=""),"",ROUND(I210/Z210,0))</f>
        <v/>
      </c>
      <c r="AC210" s="7">
        <f>IF(I210="","",FLOOR(I210*IF(T210&lt;&gt;"",T210,IF(E210="농지",3,4))/100,10))</f>
        <v/>
      </c>
      <c r="AD210" s="7">
        <f>IF(I210="","",FLOOR(I210*IF(T210&lt;&gt;"",N(U210),0.2)/100,10))</f>
        <v/>
      </c>
      <c r="AE210" s="7">
        <f>IF(I210="","",FLOOR(I210*IF(T210&lt;&gt;"",N(V210),(IF(E210="농지",3,4)-2)*0.2)/100,10))</f>
        <v/>
      </c>
      <c r="AF210" s="7">
        <f>IF(N210="","",ROUND(N210*N(O210)/100*N(P210)/12,0))</f>
        <v/>
      </c>
      <c r="AG210" s="7">
        <f>IF(I210="","",I210+AC210+AD210+AE210+N(K210)+N(L210)+N(M210)+N(Q210)+N(AF210))</f>
        <v/>
      </c>
      <c r="AH210" s="7">
        <f>IF(OR(R210="",S210=""),"",ROUND(R210*S210/100,0))</f>
        <v/>
      </c>
      <c r="AI210" s="7">
        <f>IF(OR(AG210="",R210=""),"",R210-N(AH210)-AG210)</f>
        <v/>
      </c>
      <c r="AJ210" s="6">
        <f>IF(AI210="","",ROUND(AI210/AG210*100,1))</f>
        <v/>
      </c>
    </row>
    <row r="211">
      <c r="A211" s="3" t="n"/>
      <c r="B211" s="3" t="n"/>
      <c r="C211" s="4" t="n"/>
      <c r="D211" s="3" t="n"/>
      <c r="E211" s="3" t="n"/>
      <c r="F211" s="3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3" t="n"/>
      <c r="P211" s="3" t="n"/>
      <c r="Q211" s="5" t="n"/>
      <c r="R211" s="5" t="n"/>
      <c r="S211" s="3" t="n"/>
      <c r="T211" s="3" t="n"/>
      <c r="U211" s="3" t="n"/>
      <c r="V211" s="3" t="n"/>
      <c r="W211" s="3" t="n"/>
      <c r="X211" s="3" t="n"/>
      <c r="Y211" s="3" t="n"/>
      <c r="Z211" s="6">
        <f>IF(F211="","",ROUND(F211/3.305785,1))</f>
        <v/>
      </c>
      <c r="AA211" s="6">
        <f>IF(OR(G211="",I211=""),"",ROUND(I211/G211*100,1))</f>
        <v/>
      </c>
      <c r="AB211" s="7">
        <f>IF(OR(Z211="",I211=""),"",ROUND(I211/Z211,0))</f>
        <v/>
      </c>
      <c r="AC211" s="7">
        <f>IF(I211="","",FLOOR(I211*IF(T211&lt;&gt;"",T211,IF(E211="농지",3,4))/100,10))</f>
        <v/>
      </c>
      <c r="AD211" s="7">
        <f>IF(I211="","",FLOOR(I211*IF(T211&lt;&gt;"",N(U211),0.2)/100,10))</f>
        <v/>
      </c>
      <c r="AE211" s="7">
        <f>IF(I211="","",FLOOR(I211*IF(T211&lt;&gt;"",N(V211),(IF(E211="농지",3,4)-2)*0.2)/100,10))</f>
        <v/>
      </c>
      <c r="AF211" s="7">
        <f>IF(N211="","",ROUND(N211*N(O211)/100*N(P211)/12,0))</f>
        <v/>
      </c>
      <c r="AG211" s="7">
        <f>IF(I211="","",I211+AC211+AD211+AE211+N(K211)+N(L211)+N(M211)+N(Q211)+N(AF211))</f>
        <v/>
      </c>
      <c r="AH211" s="7">
        <f>IF(OR(R211="",S211=""),"",ROUND(R211*S211/100,0))</f>
        <v/>
      </c>
      <c r="AI211" s="7">
        <f>IF(OR(AG211="",R211=""),"",R211-N(AH211)-AG211)</f>
        <v/>
      </c>
      <c r="AJ211" s="6">
        <f>IF(AI211="","",ROUND(AI211/AG211*100,1))</f>
        <v/>
      </c>
    </row>
    <row r="212">
      <c r="A212" s="3" t="n"/>
      <c r="B212" s="3" t="n"/>
      <c r="C212" s="4" t="n"/>
      <c r="D212" s="3" t="n"/>
      <c r="E212" s="3" t="n"/>
      <c r="F212" s="3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3" t="n"/>
      <c r="P212" s="3" t="n"/>
      <c r="Q212" s="5" t="n"/>
      <c r="R212" s="5" t="n"/>
      <c r="S212" s="3" t="n"/>
      <c r="T212" s="3" t="n"/>
      <c r="U212" s="3" t="n"/>
      <c r="V212" s="3" t="n"/>
      <c r="W212" s="3" t="n"/>
      <c r="X212" s="3" t="n"/>
      <c r="Y212" s="3" t="n"/>
      <c r="Z212" s="6">
        <f>IF(F212="","",ROUND(F212/3.305785,1))</f>
        <v/>
      </c>
      <c r="AA212" s="6">
        <f>IF(OR(G212="",I212=""),"",ROUND(I212/G212*100,1))</f>
        <v/>
      </c>
      <c r="AB212" s="7">
        <f>IF(OR(Z212="",I212=""),"",ROUND(I212/Z212,0))</f>
        <v/>
      </c>
      <c r="AC212" s="7">
        <f>IF(I212="","",FLOOR(I212*IF(T212&lt;&gt;"",T212,IF(E212="농지",3,4))/100,10))</f>
        <v/>
      </c>
      <c r="AD212" s="7">
        <f>IF(I212="","",FLOOR(I212*IF(T212&lt;&gt;"",N(U212),0.2)/100,10))</f>
        <v/>
      </c>
      <c r="AE212" s="7">
        <f>IF(I212="","",FLOOR(I212*IF(T212&lt;&gt;"",N(V212),(IF(E212="농지",3,4)-2)*0.2)/100,10))</f>
        <v/>
      </c>
      <c r="AF212" s="7">
        <f>IF(N212="","",ROUND(N212*N(O212)/100*N(P212)/12,0))</f>
        <v/>
      </c>
      <c r="AG212" s="7">
        <f>IF(I212="","",I212+AC212+AD212+AE212+N(K212)+N(L212)+N(M212)+N(Q212)+N(AF212))</f>
        <v/>
      </c>
      <c r="AH212" s="7">
        <f>IF(OR(R212="",S212=""),"",ROUND(R212*S212/100,0))</f>
        <v/>
      </c>
      <c r="AI212" s="7">
        <f>IF(OR(AG212="",R212=""),"",R212-N(AH212)-AG212)</f>
        <v/>
      </c>
      <c r="AJ212" s="6">
        <f>IF(AI212="","",ROUND(AI212/AG212*100,1))</f>
        <v/>
      </c>
    </row>
    <row r="213">
      <c r="A213" s="3" t="n"/>
      <c r="B213" s="3" t="n"/>
      <c r="C213" s="4" t="n"/>
      <c r="D213" s="3" t="n"/>
      <c r="E213" s="3" t="n"/>
      <c r="F213" s="3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3" t="n"/>
      <c r="P213" s="3" t="n"/>
      <c r="Q213" s="5" t="n"/>
      <c r="R213" s="5" t="n"/>
      <c r="S213" s="3" t="n"/>
      <c r="T213" s="3" t="n"/>
      <c r="U213" s="3" t="n"/>
      <c r="V213" s="3" t="n"/>
      <c r="W213" s="3" t="n"/>
      <c r="X213" s="3" t="n"/>
      <c r="Y213" s="3" t="n"/>
      <c r="Z213" s="6">
        <f>IF(F213="","",ROUND(F213/3.305785,1))</f>
        <v/>
      </c>
      <c r="AA213" s="6">
        <f>IF(OR(G213="",I213=""),"",ROUND(I213/G213*100,1))</f>
        <v/>
      </c>
      <c r="AB213" s="7">
        <f>IF(OR(Z213="",I213=""),"",ROUND(I213/Z213,0))</f>
        <v/>
      </c>
      <c r="AC213" s="7">
        <f>IF(I213="","",FLOOR(I213*IF(T213&lt;&gt;"",T213,IF(E213="농지",3,4))/100,10))</f>
        <v/>
      </c>
      <c r="AD213" s="7">
        <f>IF(I213="","",FLOOR(I213*IF(T213&lt;&gt;"",N(U213),0.2)/100,10))</f>
        <v/>
      </c>
      <c r="AE213" s="7">
        <f>IF(I213="","",FLOOR(I213*IF(T213&lt;&gt;"",N(V213),(IF(E213="농지",3,4)-2)*0.2)/100,10))</f>
        <v/>
      </c>
      <c r="AF213" s="7">
        <f>IF(N213="","",ROUND(N213*N(O213)/100*N(P213)/12,0))</f>
        <v/>
      </c>
      <c r="AG213" s="7">
        <f>IF(I213="","",I213+AC213+AD213+AE213+N(K213)+N(L213)+N(M213)+N(Q213)+N(AF213))</f>
        <v/>
      </c>
      <c r="AH213" s="7">
        <f>IF(OR(R213="",S213=""),"",ROUND(R213*S213/100,0))</f>
        <v/>
      </c>
      <c r="AI213" s="7">
        <f>IF(OR(AG213="",R213=""),"",R213-N(AH213)-AG213)</f>
        <v/>
      </c>
      <c r="AJ213" s="6">
        <f>IF(AI213="","",ROUND(AI213/AG213*100,1))</f>
        <v/>
      </c>
    </row>
    <row r="214">
      <c r="A214" s="3" t="n"/>
      <c r="B214" s="3" t="n"/>
      <c r="C214" s="4" t="n"/>
      <c r="D214" s="3" t="n"/>
      <c r="E214" s="3" t="n"/>
      <c r="F214" s="3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3" t="n"/>
      <c r="P214" s="3" t="n"/>
      <c r="Q214" s="5" t="n"/>
      <c r="R214" s="5" t="n"/>
      <c r="S214" s="3" t="n"/>
      <c r="T214" s="3" t="n"/>
      <c r="U214" s="3" t="n"/>
      <c r="V214" s="3" t="n"/>
      <c r="W214" s="3" t="n"/>
      <c r="X214" s="3" t="n"/>
      <c r="Y214" s="3" t="n"/>
      <c r="Z214" s="6">
        <f>IF(F214="","",ROUND(F214/3.305785,1))</f>
        <v/>
      </c>
      <c r="AA214" s="6">
        <f>IF(OR(G214="",I214=""),"",ROUND(I214/G214*100,1))</f>
        <v/>
      </c>
      <c r="AB214" s="7">
        <f>IF(OR(Z214="",I214=""),"",ROUND(I214/Z214,0))</f>
        <v/>
      </c>
      <c r="AC214" s="7">
        <f>IF(I214="","",FLOOR(I214*IF(T214&lt;&gt;"",T214,IF(E214="농지",3,4))/100,10))</f>
        <v/>
      </c>
      <c r="AD214" s="7">
        <f>IF(I214="","",FLOOR(I214*IF(T214&lt;&gt;"",N(U214),0.2)/100,10))</f>
        <v/>
      </c>
      <c r="AE214" s="7">
        <f>IF(I214="","",FLOOR(I214*IF(T214&lt;&gt;"",N(V214),(IF(E214="농지",3,4)-2)*0.2)/100,10))</f>
        <v/>
      </c>
      <c r="AF214" s="7">
        <f>IF(N214="","",ROUND(N214*N(O214)/100*N(P214)/12,0))</f>
        <v/>
      </c>
      <c r="AG214" s="7">
        <f>IF(I214="","",I214+AC214+AD214+AE214+N(K214)+N(L214)+N(M214)+N(Q214)+N(AF214))</f>
        <v/>
      </c>
      <c r="AH214" s="7">
        <f>IF(OR(R214="",S214=""),"",ROUND(R214*S214/100,0))</f>
        <v/>
      </c>
      <c r="AI214" s="7">
        <f>IF(OR(AG214="",R214=""),"",R214-N(AH214)-AG214)</f>
        <v/>
      </c>
      <c r="AJ214" s="6">
        <f>IF(AI214="","",ROUND(AI214/AG214*100,1))</f>
        <v/>
      </c>
    </row>
    <row r="215">
      <c r="A215" s="3" t="n"/>
      <c r="B215" s="3" t="n"/>
      <c r="C215" s="4" t="n"/>
      <c r="D215" s="3" t="n"/>
      <c r="E215" s="3" t="n"/>
      <c r="F215" s="3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3" t="n"/>
      <c r="P215" s="3" t="n"/>
      <c r="Q215" s="5" t="n"/>
      <c r="R215" s="5" t="n"/>
      <c r="S215" s="3" t="n"/>
      <c r="T215" s="3" t="n"/>
      <c r="U215" s="3" t="n"/>
      <c r="V215" s="3" t="n"/>
      <c r="W215" s="3" t="n"/>
      <c r="X215" s="3" t="n"/>
      <c r="Y215" s="3" t="n"/>
      <c r="Z215" s="6">
        <f>IF(F215="","",ROUND(F215/3.305785,1))</f>
        <v/>
      </c>
      <c r="AA215" s="6">
        <f>IF(OR(G215="",I215=""),"",ROUND(I215/G215*100,1))</f>
        <v/>
      </c>
      <c r="AB215" s="7">
        <f>IF(OR(Z215="",I215=""),"",ROUND(I215/Z215,0))</f>
        <v/>
      </c>
      <c r="AC215" s="7">
        <f>IF(I215="","",FLOOR(I215*IF(T215&lt;&gt;"",T215,IF(E215="농지",3,4))/100,10))</f>
        <v/>
      </c>
      <c r="AD215" s="7">
        <f>IF(I215="","",FLOOR(I215*IF(T215&lt;&gt;"",N(U215),0.2)/100,10))</f>
        <v/>
      </c>
      <c r="AE215" s="7">
        <f>IF(I215="","",FLOOR(I215*IF(T215&lt;&gt;"",N(V215),(IF(E215="농지",3,4)-2)*0.2)/100,10))</f>
        <v/>
      </c>
      <c r="AF215" s="7">
        <f>IF(N215="","",ROUND(N215*N(O215)/100*N(P215)/12,0))</f>
        <v/>
      </c>
      <c r="AG215" s="7">
        <f>IF(I215="","",I215+AC215+AD215+AE215+N(K215)+N(L215)+N(M215)+N(Q215)+N(AF215))</f>
        <v/>
      </c>
      <c r="AH215" s="7">
        <f>IF(OR(R215="",S215=""),"",ROUND(R215*S215/100,0))</f>
        <v/>
      </c>
      <c r="AI215" s="7">
        <f>IF(OR(AG215="",R215=""),"",R215-N(AH215)-AG215)</f>
        <v/>
      </c>
      <c r="AJ215" s="6">
        <f>IF(AI215="","",ROUND(AI215/AG215*100,1))</f>
        <v/>
      </c>
    </row>
    <row r="216">
      <c r="A216" s="3" t="n"/>
      <c r="B216" s="3" t="n"/>
      <c r="C216" s="4" t="n"/>
      <c r="D216" s="3" t="n"/>
      <c r="E216" s="3" t="n"/>
      <c r="F216" s="3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3" t="n"/>
      <c r="P216" s="3" t="n"/>
      <c r="Q216" s="5" t="n"/>
      <c r="R216" s="5" t="n"/>
      <c r="S216" s="3" t="n"/>
      <c r="T216" s="3" t="n"/>
      <c r="U216" s="3" t="n"/>
      <c r="V216" s="3" t="n"/>
      <c r="W216" s="3" t="n"/>
      <c r="X216" s="3" t="n"/>
      <c r="Y216" s="3" t="n"/>
      <c r="Z216" s="6">
        <f>IF(F216="","",ROUND(F216/3.305785,1))</f>
        <v/>
      </c>
      <c r="AA216" s="6">
        <f>IF(OR(G216="",I216=""),"",ROUND(I216/G216*100,1))</f>
        <v/>
      </c>
      <c r="AB216" s="7">
        <f>IF(OR(Z216="",I216=""),"",ROUND(I216/Z216,0))</f>
        <v/>
      </c>
      <c r="AC216" s="7">
        <f>IF(I216="","",FLOOR(I216*IF(T216&lt;&gt;"",T216,IF(E216="농지",3,4))/100,10))</f>
        <v/>
      </c>
      <c r="AD216" s="7">
        <f>IF(I216="","",FLOOR(I216*IF(T216&lt;&gt;"",N(U216),0.2)/100,10))</f>
        <v/>
      </c>
      <c r="AE216" s="7">
        <f>IF(I216="","",FLOOR(I216*IF(T216&lt;&gt;"",N(V216),(IF(E216="농지",3,4)-2)*0.2)/100,10))</f>
        <v/>
      </c>
      <c r="AF216" s="7">
        <f>IF(N216="","",ROUND(N216*N(O216)/100*N(P216)/12,0))</f>
        <v/>
      </c>
      <c r="AG216" s="7">
        <f>IF(I216="","",I216+AC216+AD216+AE216+N(K216)+N(L216)+N(M216)+N(Q216)+N(AF216))</f>
        <v/>
      </c>
      <c r="AH216" s="7">
        <f>IF(OR(R216="",S216=""),"",ROUND(R216*S216/100,0))</f>
        <v/>
      </c>
      <c r="AI216" s="7">
        <f>IF(OR(AG216="",R216=""),"",R216-N(AH216)-AG216)</f>
        <v/>
      </c>
      <c r="AJ216" s="6">
        <f>IF(AI216="","",ROUND(AI216/AG216*100,1))</f>
        <v/>
      </c>
    </row>
    <row r="217">
      <c r="A217" s="3" t="n"/>
      <c r="B217" s="3" t="n"/>
      <c r="C217" s="4" t="n"/>
      <c r="D217" s="3" t="n"/>
      <c r="E217" s="3" t="n"/>
      <c r="F217" s="3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3" t="n"/>
      <c r="P217" s="3" t="n"/>
      <c r="Q217" s="5" t="n"/>
      <c r="R217" s="5" t="n"/>
      <c r="S217" s="3" t="n"/>
      <c r="T217" s="3" t="n"/>
      <c r="U217" s="3" t="n"/>
      <c r="V217" s="3" t="n"/>
      <c r="W217" s="3" t="n"/>
      <c r="X217" s="3" t="n"/>
      <c r="Y217" s="3" t="n"/>
      <c r="Z217" s="6">
        <f>IF(F217="","",ROUND(F217/3.305785,1))</f>
        <v/>
      </c>
      <c r="AA217" s="6">
        <f>IF(OR(G217="",I217=""),"",ROUND(I217/G217*100,1))</f>
        <v/>
      </c>
      <c r="AB217" s="7">
        <f>IF(OR(Z217="",I217=""),"",ROUND(I217/Z217,0))</f>
        <v/>
      </c>
      <c r="AC217" s="7">
        <f>IF(I217="","",FLOOR(I217*IF(T217&lt;&gt;"",T217,IF(E217="농지",3,4))/100,10))</f>
        <v/>
      </c>
      <c r="AD217" s="7">
        <f>IF(I217="","",FLOOR(I217*IF(T217&lt;&gt;"",N(U217),0.2)/100,10))</f>
        <v/>
      </c>
      <c r="AE217" s="7">
        <f>IF(I217="","",FLOOR(I217*IF(T217&lt;&gt;"",N(V217),(IF(E217="농지",3,4)-2)*0.2)/100,10))</f>
        <v/>
      </c>
      <c r="AF217" s="7">
        <f>IF(N217="","",ROUND(N217*N(O217)/100*N(P217)/12,0))</f>
        <v/>
      </c>
      <c r="AG217" s="7">
        <f>IF(I217="","",I217+AC217+AD217+AE217+N(K217)+N(L217)+N(M217)+N(Q217)+N(AF217))</f>
        <v/>
      </c>
      <c r="AH217" s="7">
        <f>IF(OR(R217="",S217=""),"",ROUND(R217*S217/100,0))</f>
        <v/>
      </c>
      <c r="AI217" s="7">
        <f>IF(OR(AG217="",R217=""),"",R217-N(AH217)-AG217)</f>
        <v/>
      </c>
      <c r="AJ217" s="6">
        <f>IF(AI217="","",ROUND(AI217/AG217*100,1))</f>
        <v/>
      </c>
    </row>
    <row r="218">
      <c r="A218" s="3" t="n"/>
      <c r="B218" s="3" t="n"/>
      <c r="C218" s="4" t="n"/>
      <c r="D218" s="3" t="n"/>
      <c r="E218" s="3" t="n"/>
      <c r="F218" s="3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3" t="n"/>
      <c r="P218" s="3" t="n"/>
      <c r="Q218" s="5" t="n"/>
      <c r="R218" s="5" t="n"/>
      <c r="S218" s="3" t="n"/>
      <c r="T218" s="3" t="n"/>
      <c r="U218" s="3" t="n"/>
      <c r="V218" s="3" t="n"/>
      <c r="W218" s="3" t="n"/>
      <c r="X218" s="3" t="n"/>
      <c r="Y218" s="3" t="n"/>
      <c r="Z218" s="6">
        <f>IF(F218="","",ROUND(F218/3.305785,1))</f>
        <v/>
      </c>
      <c r="AA218" s="6">
        <f>IF(OR(G218="",I218=""),"",ROUND(I218/G218*100,1))</f>
        <v/>
      </c>
      <c r="AB218" s="7">
        <f>IF(OR(Z218="",I218=""),"",ROUND(I218/Z218,0))</f>
        <v/>
      </c>
      <c r="AC218" s="7">
        <f>IF(I218="","",FLOOR(I218*IF(T218&lt;&gt;"",T218,IF(E218="농지",3,4))/100,10))</f>
        <v/>
      </c>
      <c r="AD218" s="7">
        <f>IF(I218="","",FLOOR(I218*IF(T218&lt;&gt;"",N(U218),0.2)/100,10))</f>
        <v/>
      </c>
      <c r="AE218" s="7">
        <f>IF(I218="","",FLOOR(I218*IF(T218&lt;&gt;"",N(V218),(IF(E218="농지",3,4)-2)*0.2)/100,10))</f>
        <v/>
      </c>
      <c r="AF218" s="7">
        <f>IF(N218="","",ROUND(N218*N(O218)/100*N(P218)/12,0))</f>
        <v/>
      </c>
      <c r="AG218" s="7">
        <f>IF(I218="","",I218+AC218+AD218+AE218+N(K218)+N(L218)+N(M218)+N(Q218)+N(AF218))</f>
        <v/>
      </c>
      <c r="AH218" s="7">
        <f>IF(OR(R218="",S218=""),"",ROUND(R218*S218/100,0))</f>
        <v/>
      </c>
      <c r="AI218" s="7">
        <f>IF(OR(AG218="",R218=""),"",R218-N(AH218)-AG218)</f>
        <v/>
      </c>
      <c r="AJ218" s="6">
        <f>IF(AI218="","",ROUND(AI218/AG218*100,1))</f>
        <v/>
      </c>
    </row>
    <row r="219">
      <c r="A219" s="3" t="n"/>
      <c r="B219" s="3" t="n"/>
      <c r="C219" s="4" t="n"/>
      <c r="D219" s="3" t="n"/>
      <c r="E219" s="3" t="n"/>
      <c r="F219" s="3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3" t="n"/>
      <c r="P219" s="3" t="n"/>
      <c r="Q219" s="5" t="n"/>
      <c r="R219" s="5" t="n"/>
      <c r="S219" s="3" t="n"/>
      <c r="T219" s="3" t="n"/>
      <c r="U219" s="3" t="n"/>
      <c r="V219" s="3" t="n"/>
      <c r="W219" s="3" t="n"/>
      <c r="X219" s="3" t="n"/>
      <c r="Y219" s="3" t="n"/>
      <c r="Z219" s="6">
        <f>IF(F219="","",ROUND(F219/3.305785,1))</f>
        <v/>
      </c>
      <c r="AA219" s="6">
        <f>IF(OR(G219="",I219=""),"",ROUND(I219/G219*100,1))</f>
        <v/>
      </c>
      <c r="AB219" s="7">
        <f>IF(OR(Z219="",I219=""),"",ROUND(I219/Z219,0))</f>
        <v/>
      </c>
      <c r="AC219" s="7">
        <f>IF(I219="","",FLOOR(I219*IF(T219&lt;&gt;"",T219,IF(E219="농지",3,4))/100,10))</f>
        <v/>
      </c>
      <c r="AD219" s="7">
        <f>IF(I219="","",FLOOR(I219*IF(T219&lt;&gt;"",N(U219),0.2)/100,10))</f>
        <v/>
      </c>
      <c r="AE219" s="7">
        <f>IF(I219="","",FLOOR(I219*IF(T219&lt;&gt;"",N(V219),(IF(E219="농지",3,4)-2)*0.2)/100,10))</f>
        <v/>
      </c>
      <c r="AF219" s="7">
        <f>IF(N219="","",ROUND(N219*N(O219)/100*N(P219)/12,0))</f>
        <v/>
      </c>
      <c r="AG219" s="7">
        <f>IF(I219="","",I219+AC219+AD219+AE219+N(K219)+N(L219)+N(M219)+N(Q219)+N(AF219))</f>
        <v/>
      </c>
      <c r="AH219" s="7">
        <f>IF(OR(R219="",S219=""),"",ROUND(R219*S219/100,0))</f>
        <v/>
      </c>
      <c r="AI219" s="7">
        <f>IF(OR(AG219="",R219=""),"",R219-N(AH219)-AG219)</f>
        <v/>
      </c>
      <c r="AJ219" s="6">
        <f>IF(AI219="","",ROUND(AI219/AG219*100,1))</f>
        <v/>
      </c>
    </row>
    <row r="220">
      <c r="A220" s="3" t="n"/>
      <c r="B220" s="3" t="n"/>
      <c r="C220" s="4" t="n"/>
      <c r="D220" s="3" t="n"/>
      <c r="E220" s="3" t="n"/>
      <c r="F220" s="3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3" t="n"/>
      <c r="P220" s="3" t="n"/>
      <c r="Q220" s="5" t="n"/>
      <c r="R220" s="5" t="n"/>
      <c r="S220" s="3" t="n"/>
      <c r="T220" s="3" t="n"/>
      <c r="U220" s="3" t="n"/>
      <c r="V220" s="3" t="n"/>
      <c r="W220" s="3" t="n"/>
      <c r="X220" s="3" t="n"/>
      <c r="Y220" s="3" t="n"/>
      <c r="Z220" s="6">
        <f>IF(F220="","",ROUND(F220/3.305785,1))</f>
        <v/>
      </c>
      <c r="AA220" s="6">
        <f>IF(OR(G220="",I220=""),"",ROUND(I220/G220*100,1))</f>
        <v/>
      </c>
      <c r="AB220" s="7">
        <f>IF(OR(Z220="",I220=""),"",ROUND(I220/Z220,0))</f>
        <v/>
      </c>
      <c r="AC220" s="7">
        <f>IF(I220="","",FLOOR(I220*IF(T220&lt;&gt;"",T220,IF(E220="농지",3,4))/100,10))</f>
        <v/>
      </c>
      <c r="AD220" s="7">
        <f>IF(I220="","",FLOOR(I220*IF(T220&lt;&gt;"",N(U220),0.2)/100,10))</f>
        <v/>
      </c>
      <c r="AE220" s="7">
        <f>IF(I220="","",FLOOR(I220*IF(T220&lt;&gt;"",N(V220),(IF(E220="농지",3,4)-2)*0.2)/100,10))</f>
        <v/>
      </c>
      <c r="AF220" s="7">
        <f>IF(N220="","",ROUND(N220*N(O220)/100*N(P220)/12,0))</f>
        <v/>
      </c>
      <c r="AG220" s="7">
        <f>IF(I220="","",I220+AC220+AD220+AE220+N(K220)+N(L220)+N(M220)+N(Q220)+N(AF220))</f>
        <v/>
      </c>
      <c r="AH220" s="7">
        <f>IF(OR(R220="",S220=""),"",ROUND(R220*S220/100,0))</f>
        <v/>
      </c>
      <c r="AI220" s="7">
        <f>IF(OR(AG220="",R220=""),"",R220-N(AH220)-AG220)</f>
        <v/>
      </c>
      <c r="AJ220" s="6">
        <f>IF(AI220="","",ROUND(AI220/AG220*100,1))</f>
        <v/>
      </c>
    </row>
    <row r="221">
      <c r="A221" s="3" t="n"/>
      <c r="B221" s="3" t="n"/>
      <c r="C221" s="4" t="n"/>
      <c r="D221" s="3" t="n"/>
      <c r="E221" s="3" t="n"/>
      <c r="F221" s="3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3" t="n"/>
      <c r="P221" s="3" t="n"/>
      <c r="Q221" s="5" t="n"/>
      <c r="R221" s="5" t="n"/>
      <c r="S221" s="3" t="n"/>
      <c r="T221" s="3" t="n"/>
      <c r="U221" s="3" t="n"/>
      <c r="V221" s="3" t="n"/>
      <c r="W221" s="3" t="n"/>
      <c r="X221" s="3" t="n"/>
      <c r="Y221" s="3" t="n"/>
      <c r="Z221" s="6">
        <f>IF(F221="","",ROUND(F221/3.305785,1))</f>
        <v/>
      </c>
      <c r="AA221" s="6">
        <f>IF(OR(G221="",I221=""),"",ROUND(I221/G221*100,1))</f>
        <v/>
      </c>
      <c r="AB221" s="7">
        <f>IF(OR(Z221="",I221=""),"",ROUND(I221/Z221,0))</f>
        <v/>
      </c>
      <c r="AC221" s="7">
        <f>IF(I221="","",FLOOR(I221*IF(T221&lt;&gt;"",T221,IF(E221="농지",3,4))/100,10))</f>
        <v/>
      </c>
      <c r="AD221" s="7">
        <f>IF(I221="","",FLOOR(I221*IF(T221&lt;&gt;"",N(U221),0.2)/100,10))</f>
        <v/>
      </c>
      <c r="AE221" s="7">
        <f>IF(I221="","",FLOOR(I221*IF(T221&lt;&gt;"",N(V221),(IF(E221="농지",3,4)-2)*0.2)/100,10))</f>
        <v/>
      </c>
      <c r="AF221" s="7">
        <f>IF(N221="","",ROUND(N221*N(O221)/100*N(P221)/12,0))</f>
        <v/>
      </c>
      <c r="AG221" s="7">
        <f>IF(I221="","",I221+AC221+AD221+AE221+N(K221)+N(L221)+N(M221)+N(Q221)+N(AF221))</f>
        <v/>
      </c>
      <c r="AH221" s="7">
        <f>IF(OR(R221="",S221=""),"",ROUND(R221*S221/100,0))</f>
        <v/>
      </c>
      <c r="AI221" s="7">
        <f>IF(OR(AG221="",R221=""),"",R221-N(AH221)-AG221)</f>
        <v/>
      </c>
      <c r="AJ221" s="6">
        <f>IF(AI221="","",ROUND(AI221/AG221*100,1))</f>
        <v/>
      </c>
    </row>
    <row r="222">
      <c r="A222" s="3" t="n"/>
      <c r="B222" s="3" t="n"/>
      <c r="C222" s="4" t="n"/>
      <c r="D222" s="3" t="n"/>
      <c r="E222" s="3" t="n"/>
      <c r="F222" s="3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3" t="n"/>
      <c r="P222" s="3" t="n"/>
      <c r="Q222" s="5" t="n"/>
      <c r="R222" s="5" t="n"/>
      <c r="S222" s="3" t="n"/>
      <c r="T222" s="3" t="n"/>
      <c r="U222" s="3" t="n"/>
      <c r="V222" s="3" t="n"/>
      <c r="W222" s="3" t="n"/>
      <c r="X222" s="3" t="n"/>
      <c r="Y222" s="3" t="n"/>
      <c r="Z222" s="6">
        <f>IF(F222="","",ROUND(F222/3.305785,1))</f>
        <v/>
      </c>
      <c r="AA222" s="6">
        <f>IF(OR(G222="",I222=""),"",ROUND(I222/G222*100,1))</f>
        <v/>
      </c>
      <c r="AB222" s="7">
        <f>IF(OR(Z222="",I222=""),"",ROUND(I222/Z222,0))</f>
        <v/>
      </c>
      <c r="AC222" s="7">
        <f>IF(I222="","",FLOOR(I222*IF(T222&lt;&gt;"",T222,IF(E222="농지",3,4))/100,10))</f>
        <v/>
      </c>
      <c r="AD222" s="7">
        <f>IF(I222="","",FLOOR(I222*IF(T222&lt;&gt;"",N(U222),0.2)/100,10))</f>
        <v/>
      </c>
      <c r="AE222" s="7">
        <f>IF(I222="","",FLOOR(I222*IF(T222&lt;&gt;"",N(V222),(IF(E222="농지",3,4)-2)*0.2)/100,10))</f>
        <v/>
      </c>
      <c r="AF222" s="7">
        <f>IF(N222="","",ROUND(N222*N(O222)/100*N(P222)/12,0))</f>
        <v/>
      </c>
      <c r="AG222" s="7">
        <f>IF(I222="","",I222+AC222+AD222+AE222+N(K222)+N(L222)+N(M222)+N(Q222)+N(AF222))</f>
        <v/>
      </c>
      <c r="AH222" s="7">
        <f>IF(OR(R222="",S222=""),"",ROUND(R222*S222/100,0))</f>
        <v/>
      </c>
      <c r="AI222" s="7">
        <f>IF(OR(AG222="",R222=""),"",R222-N(AH222)-AG222)</f>
        <v/>
      </c>
      <c r="AJ222" s="6">
        <f>IF(AI222="","",ROUND(AI222/AG222*100,1))</f>
        <v/>
      </c>
    </row>
    <row r="223">
      <c r="A223" s="3" t="n"/>
      <c r="B223" s="3" t="n"/>
      <c r="C223" s="4" t="n"/>
      <c r="D223" s="3" t="n"/>
      <c r="E223" s="3" t="n"/>
      <c r="F223" s="3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3" t="n"/>
      <c r="P223" s="3" t="n"/>
      <c r="Q223" s="5" t="n"/>
      <c r="R223" s="5" t="n"/>
      <c r="S223" s="3" t="n"/>
      <c r="T223" s="3" t="n"/>
      <c r="U223" s="3" t="n"/>
      <c r="V223" s="3" t="n"/>
      <c r="W223" s="3" t="n"/>
      <c r="X223" s="3" t="n"/>
      <c r="Y223" s="3" t="n"/>
      <c r="Z223" s="6">
        <f>IF(F223="","",ROUND(F223/3.305785,1))</f>
        <v/>
      </c>
      <c r="AA223" s="6">
        <f>IF(OR(G223="",I223=""),"",ROUND(I223/G223*100,1))</f>
        <v/>
      </c>
      <c r="AB223" s="7">
        <f>IF(OR(Z223="",I223=""),"",ROUND(I223/Z223,0))</f>
        <v/>
      </c>
      <c r="AC223" s="7">
        <f>IF(I223="","",FLOOR(I223*IF(T223&lt;&gt;"",T223,IF(E223="농지",3,4))/100,10))</f>
        <v/>
      </c>
      <c r="AD223" s="7">
        <f>IF(I223="","",FLOOR(I223*IF(T223&lt;&gt;"",N(U223),0.2)/100,10))</f>
        <v/>
      </c>
      <c r="AE223" s="7">
        <f>IF(I223="","",FLOOR(I223*IF(T223&lt;&gt;"",N(V223),(IF(E223="농지",3,4)-2)*0.2)/100,10))</f>
        <v/>
      </c>
      <c r="AF223" s="7">
        <f>IF(N223="","",ROUND(N223*N(O223)/100*N(P223)/12,0))</f>
        <v/>
      </c>
      <c r="AG223" s="7">
        <f>IF(I223="","",I223+AC223+AD223+AE223+N(K223)+N(L223)+N(M223)+N(Q223)+N(AF223))</f>
        <v/>
      </c>
      <c r="AH223" s="7">
        <f>IF(OR(R223="",S223=""),"",ROUND(R223*S223/100,0))</f>
        <v/>
      </c>
      <c r="AI223" s="7">
        <f>IF(OR(AG223="",R223=""),"",R223-N(AH223)-AG223)</f>
        <v/>
      </c>
      <c r="AJ223" s="6">
        <f>IF(AI223="","",ROUND(AI223/AG223*100,1))</f>
        <v/>
      </c>
    </row>
    <row r="224">
      <c r="A224" s="3" t="n"/>
      <c r="B224" s="3" t="n"/>
      <c r="C224" s="4" t="n"/>
      <c r="D224" s="3" t="n"/>
      <c r="E224" s="3" t="n"/>
      <c r="F224" s="3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3" t="n"/>
      <c r="P224" s="3" t="n"/>
      <c r="Q224" s="5" t="n"/>
      <c r="R224" s="5" t="n"/>
      <c r="S224" s="3" t="n"/>
      <c r="T224" s="3" t="n"/>
      <c r="U224" s="3" t="n"/>
      <c r="V224" s="3" t="n"/>
      <c r="W224" s="3" t="n"/>
      <c r="X224" s="3" t="n"/>
      <c r="Y224" s="3" t="n"/>
      <c r="Z224" s="6">
        <f>IF(F224="","",ROUND(F224/3.305785,1))</f>
        <v/>
      </c>
      <c r="AA224" s="6">
        <f>IF(OR(G224="",I224=""),"",ROUND(I224/G224*100,1))</f>
        <v/>
      </c>
      <c r="AB224" s="7">
        <f>IF(OR(Z224="",I224=""),"",ROUND(I224/Z224,0))</f>
        <v/>
      </c>
      <c r="AC224" s="7">
        <f>IF(I224="","",FLOOR(I224*IF(T224&lt;&gt;"",T224,IF(E224="농지",3,4))/100,10))</f>
        <v/>
      </c>
      <c r="AD224" s="7">
        <f>IF(I224="","",FLOOR(I224*IF(T224&lt;&gt;"",N(U224),0.2)/100,10))</f>
        <v/>
      </c>
      <c r="AE224" s="7">
        <f>IF(I224="","",FLOOR(I224*IF(T224&lt;&gt;"",N(V224),(IF(E224="농지",3,4)-2)*0.2)/100,10))</f>
        <v/>
      </c>
      <c r="AF224" s="7">
        <f>IF(N224="","",ROUND(N224*N(O224)/100*N(P224)/12,0))</f>
        <v/>
      </c>
      <c r="AG224" s="7">
        <f>IF(I224="","",I224+AC224+AD224+AE224+N(K224)+N(L224)+N(M224)+N(Q224)+N(AF224))</f>
        <v/>
      </c>
      <c r="AH224" s="7">
        <f>IF(OR(R224="",S224=""),"",ROUND(R224*S224/100,0))</f>
        <v/>
      </c>
      <c r="AI224" s="7">
        <f>IF(OR(AG224="",R224=""),"",R224-N(AH224)-AG224)</f>
        <v/>
      </c>
      <c r="AJ224" s="6">
        <f>IF(AI224="","",ROUND(AI224/AG224*100,1))</f>
        <v/>
      </c>
    </row>
    <row r="225">
      <c r="A225" s="3" t="n"/>
      <c r="B225" s="3" t="n"/>
      <c r="C225" s="4" t="n"/>
      <c r="D225" s="3" t="n"/>
      <c r="E225" s="3" t="n"/>
      <c r="F225" s="3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3" t="n"/>
      <c r="P225" s="3" t="n"/>
      <c r="Q225" s="5" t="n"/>
      <c r="R225" s="5" t="n"/>
      <c r="S225" s="3" t="n"/>
      <c r="T225" s="3" t="n"/>
      <c r="U225" s="3" t="n"/>
      <c r="V225" s="3" t="n"/>
      <c r="W225" s="3" t="n"/>
      <c r="X225" s="3" t="n"/>
      <c r="Y225" s="3" t="n"/>
      <c r="Z225" s="6">
        <f>IF(F225="","",ROUND(F225/3.305785,1))</f>
        <v/>
      </c>
      <c r="AA225" s="6">
        <f>IF(OR(G225="",I225=""),"",ROUND(I225/G225*100,1))</f>
        <v/>
      </c>
      <c r="AB225" s="7">
        <f>IF(OR(Z225="",I225=""),"",ROUND(I225/Z225,0))</f>
        <v/>
      </c>
      <c r="AC225" s="7">
        <f>IF(I225="","",FLOOR(I225*IF(T225&lt;&gt;"",T225,IF(E225="농지",3,4))/100,10))</f>
        <v/>
      </c>
      <c r="AD225" s="7">
        <f>IF(I225="","",FLOOR(I225*IF(T225&lt;&gt;"",N(U225),0.2)/100,10))</f>
        <v/>
      </c>
      <c r="AE225" s="7">
        <f>IF(I225="","",FLOOR(I225*IF(T225&lt;&gt;"",N(V225),(IF(E225="농지",3,4)-2)*0.2)/100,10))</f>
        <v/>
      </c>
      <c r="AF225" s="7">
        <f>IF(N225="","",ROUND(N225*N(O225)/100*N(P225)/12,0))</f>
        <v/>
      </c>
      <c r="AG225" s="7">
        <f>IF(I225="","",I225+AC225+AD225+AE225+N(K225)+N(L225)+N(M225)+N(Q225)+N(AF225))</f>
        <v/>
      </c>
      <c r="AH225" s="7">
        <f>IF(OR(R225="",S225=""),"",ROUND(R225*S225/100,0))</f>
        <v/>
      </c>
      <c r="AI225" s="7">
        <f>IF(OR(AG225="",R225=""),"",R225-N(AH225)-AG225)</f>
        <v/>
      </c>
      <c r="AJ225" s="6">
        <f>IF(AI225="","",ROUND(AI225/AG225*100,1))</f>
        <v/>
      </c>
    </row>
    <row r="226">
      <c r="A226" s="3" t="n"/>
      <c r="B226" s="3" t="n"/>
      <c r="C226" s="4" t="n"/>
      <c r="D226" s="3" t="n"/>
      <c r="E226" s="3" t="n"/>
      <c r="F226" s="3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3" t="n"/>
      <c r="P226" s="3" t="n"/>
      <c r="Q226" s="5" t="n"/>
      <c r="R226" s="5" t="n"/>
      <c r="S226" s="3" t="n"/>
      <c r="T226" s="3" t="n"/>
      <c r="U226" s="3" t="n"/>
      <c r="V226" s="3" t="n"/>
      <c r="W226" s="3" t="n"/>
      <c r="X226" s="3" t="n"/>
      <c r="Y226" s="3" t="n"/>
      <c r="Z226" s="6">
        <f>IF(F226="","",ROUND(F226/3.305785,1))</f>
        <v/>
      </c>
      <c r="AA226" s="6">
        <f>IF(OR(G226="",I226=""),"",ROUND(I226/G226*100,1))</f>
        <v/>
      </c>
      <c r="AB226" s="7">
        <f>IF(OR(Z226="",I226=""),"",ROUND(I226/Z226,0))</f>
        <v/>
      </c>
      <c r="AC226" s="7">
        <f>IF(I226="","",FLOOR(I226*IF(T226&lt;&gt;"",T226,IF(E226="농지",3,4))/100,10))</f>
        <v/>
      </c>
      <c r="AD226" s="7">
        <f>IF(I226="","",FLOOR(I226*IF(T226&lt;&gt;"",N(U226),0.2)/100,10))</f>
        <v/>
      </c>
      <c r="AE226" s="7">
        <f>IF(I226="","",FLOOR(I226*IF(T226&lt;&gt;"",N(V226),(IF(E226="농지",3,4)-2)*0.2)/100,10))</f>
        <v/>
      </c>
      <c r="AF226" s="7">
        <f>IF(N226="","",ROUND(N226*N(O226)/100*N(P226)/12,0))</f>
        <v/>
      </c>
      <c r="AG226" s="7">
        <f>IF(I226="","",I226+AC226+AD226+AE226+N(K226)+N(L226)+N(M226)+N(Q226)+N(AF226))</f>
        <v/>
      </c>
      <c r="AH226" s="7">
        <f>IF(OR(R226="",S226=""),"",ROUND(R226*S226/100,0))</f>
        <v/>
      </c>
      <c r="AI226" s="7">
        <f>IF(OR(AG226="",R226=""),"",R226-N(AH226)-AG226)</f>
        <v/>
      </c>
      <c r="AJ226" s="6">
        <f>IF(AI226="","",ROUND(AI226/AG226*100,1))</f>
        <v/>
      </c>
    </row>
    <row r="227">
      <c r="A227" s="3" t="n"/>
      <c r="B227" s="3" t="n"/>
      <c r="C227" s="4" t="n"/>
      <c r="D227" s="3" t="n"/>
      <c r="E227" s="3" t="n"/>
      <c r="F227" s="3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3" t="n"/>
      <c r="P227" s="3" t="n"/>
      <c r="Q227" s="5" t="n"/>
      <c r="R227" s="5" t="n"/>
      <c r="S227" s="3" t="n"/>
      <c r="T227" s="3" t="n"/>
      <c r="U227" s="3" t="n"/>
      <c r="V227" s="3" t="n"/>
      <c r="W227" s="3" t="n"/>
      <c r="X227" s="3" t="n"/>
      <c r="Y227" s="3" t="n"/>
      <c r="Z227" s="6">
        <f>IF(F227="","",ROUND(F227/3.305785,1))</f>
        <v/>
      </c>
      <c r="AA227" s="6">
        <f>IF(OR(G227="",I227=""),"",ROUND(I227/G227*100,1))</f>
        <v/>
      </c>
      <c r="AB227" s="7">
        <f>IF(OR(Z227="",I227=""),"",ROUND(I227/Z227,0))</f>
        <v/>
      </c>
      <c r="AC227" s="7">
        <f>IF(I227="","",FLOOR(I227*IF(T227&lt;&gt;"",T227,IF(E227="농지",3,4))/100,10))</f>
        <v/>
      </c>
      <c r="AD227" s="7">
        <f>IF(I227="","",FLOOR(I227*IF(T227&lt;&gt;"",N(U227),0.2)/100,10))</f>
        <v/>
      </c>
      <c r="AE227" s="7">
        <f>IF(I227="","",FLOOR(I227*IF(T227&lt;&gt;"",N(V227),(IF(E227="농지",3,4)-2)*0.2)/100,10))</f>
        <v/>
      </c>
      <c r="AF227" s="7">
        <f>IF(N227="","",ROUND(N227*N(O227)/100*N(P227)/12,0))</f>
        <v/>
      </c>
      <c r="AG227" s="7">
        <f>IF(I227="","",I227+AC227+AD227+AE227+N(K227)+N(L227)+N(M227)+N(Q227)+N(AF227))</f>
        <v/>
      </c>
      <c r="AH227" s="7">
        <f>IF(OR(R227="",S227=""),"",ROUND(R227*S227/100,0))</f>
        <v/>
      </c>
      <c r="AI227" s="7">
        <f>IF(OR(AG227="",R227=""),"",R227-N(AH227)-AG227)</f>
        <v/>
      </c>
      <c r="AJ227" s="6">
        <f>IF(AI227="","",ROUND(AI227/AG227*100,1))</f>
        <v/>
      </c>
    </row>
    <row r="228">
      <c r="A228" s="3" t="n"/>
      <c r="B228" s="3" t="n"/>
      <c r="C228" s="4" t="n"/>
      <c r="D228" s="3" t="n"/>
      <c r="E228" s="3" t="n"/>
      <c r="F228" s="3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3" t="n"/>
      <c r="P228" s="3" t="n"/>
      <c r="Q228" s="5" t="n"/>
      <c r="R228" s="5" t="n"/>
      <c r="S228" s="3" t="n"/>
      <c r="T228" s="3" t="n"/>
      <c r="U228" s="3" t="n"/>
      <c r="V228" s="3" t="n"/>
      <c r="W228" s="3" t="n"/>
      <c r="X228" s="3" t="n"/>
      <c r="Y228" s="3" t="n"/>
      <c r="Z228" s="6">
        <f>IF(F228="","",ROUND(F228/3.305785,1))</f>
        <v/>
      </c>
      <c r="AA228" s="6">
        <f>IF(OR(G228="",I228=""),"",ROUND(I228/G228*100,1))</f>
        <v/>
      </c>
      <c r="AB228" s="7">
        <f>IF(OR(Z228="",I228=""),"",ROUND(I228/Z228,0))</f>
        <v/>
      </c>
      <c r="AC228" s="7">
        <f>IF(I228="","",FLOOR(I228*IF(T228&lt;&gt;"",T228,IF(E228="농지",3,4))/100,10))</f>
        <v/>
      </c>
      <c r="AD228" s="7">
        <f>IF(I228="","",FLOOR(I228*IF(T228&lt;&gt;"",N(U228),0.2)/100,10))</f>
        <v/>
      </c>
      <c r="AE228" s="7">
        <f>IF(I228="","",FLOOR(I228*IF(T228&lt;&gt;"",N(V228),(IF(E228="농지",3,4)-2)*0.2)/100,10))</f>
        <v/>
      </c>
      <c r="AF228" s="7">
        <f>IF(N228="","",ROUND(N228*N(O228)/100*N(P228)/12,0))</f>
        <v/>
      </c>
      <c r="AG228" s="7">
        <f>IF(I228="","",I228+AC228+AD228+AE228+N(K228)+N(L228)+N(M228)+N(Q228)+N(AF228))</f>
        <v/>
      </c>
      <c r="AH228" s="7">
        <f>IF(OR(R228="",S228=""),"",ROUND(R228*S228/100,0))</f>
        <v/>
      </c>
      <c r="AI228" s="7">
        <f>IF(OR(AG228="",R228=""),"",R228-N(AH228)-AG228)</f>
        <v/>
      </c>
      <c r="AJ228" s="6">
        <f>IF(AI228="","",ROUND(AI228/AG228*100,1))</f>
        <v/>
      </c>
    </row>
    <row r="229">
      <c r="A229" s="3" t="n"/>
      <c r="B229" s="3" t="n"/>
      <c r="C229" s="4" t="n"/>
      <c r="D229" s="3" t="n"/>
      <c r="E229" s="3" t="n"/>
      <c r="F229" s="3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3" t="n"/>
      <c r="P229" s="3" t="n"/>
      <c r="Q229" s="5" t="n"/>
      <c r="R229" s="5" t="n"/>
      <c r="S229" s="3" t="n"/>
      <c r="T229" s="3" t="n"/>
      <c r="U229" s="3" t="n"/>
      <c r="V229" s="3" t="n"/>
      <c r="W229" s="3" t="n"/>
      <c r="X229" s="3" t="n"/>
      <c r="Y229" s="3" t="n"/>
      <c r="Z229" s="6">
        <f>IF(F229="","",ROUND(F229/3.305785,1))</f>
        <v/>
      </c>
      <c r="AA229" s="6">
        <f>IF(OR(G229="",I229=""),"",ROUND(I229/G229*100,1))</f>
        <v/>
      </c>
      <c r="AB229" s="7">
        <f>IF(OR(Z229="",I229=""),"",ROUND(I229/Z229,0))</f>
        <v/>
      </c>
      <c r="AC229" s="7">
        <f>IF(I229="","",FLOOR(I229*IF(T229&lt;&gt;"",T229,IF(E229="농지",3,4))/100,10))</f>
        <v/>
      </c>
      <c r="AD229" s="7">
        <f>IF(I229="","",FLOOR(I229*IF(T229&lt;&gt;"",N(U229),0.2)/100,10))</f>
        <v/>
      </c>
      <c r="AE229" s="7">
        <f>IF(I229="","",FLOOR(I229*IF(T229&lt;&gt;"",N(V229),(IF(E229="농지",3,4)-2)*0.2)/100,10))</f>
        <v/>
      </c>
      <c r="AF229" s="7">
        <f>IF(N229="","",ROUND(N229*N(O229)/100*N(P229)/12,0))</f>
        <v/>
      </c>
      <c r="AG229" s="7">
        <f>IF(I229="","",I229+AC229+AD229+AE229+N(K229)+N(L229)+N(M229)+N(Q229)+N(AF229))</f>
        <v/>
      </c>
      <c r="AH229" s="7">
        <f>IF(OR(R229="",S229=""),"",ROUND(R229*S229/100,0))</f>
        <v/>
      </c>
      <c r="AI229" s="7">
        <f>IF(OR(AG229="",R229=""),"",R229-N(AH229)-AG229)</f>
        <v/>
      </c>
      <c r="AJ229" s="6">
        <f>IF(AI229="","",ROUND(AI229/AG229*100,1))</f>
        <v/>
      </c>
    </row>
    <row r="230">
      <c r="A230" s="3" t="n"/>
      <c r="B230" s="3" t="n"/>
      <c r="C230" s="4" t="n"/>
      <c r="D230" s="3" t="n"/>
      <c r="E230" s="3" t="n"/>
      <c r="F230" s="3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3" t="n"/>
      <c r="P230" s="3" t="n"/>
      <c r="Q230" s="5" t="n"/>
      <c r="R230" s="5" t="n"/>
      <c r="S230" s="3" t="n"/>
      <c r="T230" s="3" t="n"/>
      <c r="U230" s="3" t="n"/>
      <c r="V230" s="3" t="n"/>
      <c r="W230" s="3" t="n"/>
      <c r="X230" s="3" t="n"/>
      <c r="Y230" s="3" t="n"/>
      <c r="Z230" s="6">
        <f>IF(F230="","",ROUND(F230/3.305785,1))</f>
        <v/>
      </c>
      <c r="AA230" s="6">
        <f>IF(OR(G230="",I230=""),"",ROUND(I230/G230*100,1))</f>
        <v/>
      </c>
      <c r="AB230" s="7">
        <f>IF(OR(Z230="",I230=""),"",ROUND(I230/Z230,0))</f>
        <v/>
      </c>
      <c r="AC230" s="7">
        <f>IF(I230="","",FLOOR(I230*IF(T230&lt;&gt;"",T230,IF(E230="농지",3,4))/100,10))</f>
        <v/>
      </c>
      <c r="AD230" s="7">
        <f>IF(I230="","",FLOOR(I230*IF(T230&lt;&gt;"",N(U230),0.2)/100,10))</f>
        <v/>
      </c>
      <c r="AE230" s="7">
        <f>IF(I230="","",FLOOR(I230*IF(T230&lt;&gt;"",N(V230),(IF(E230="농지",3,4)-2)*0.2)/100,10))</f>
        <v/>
      </c>
      <c r="AF230" s="7">
        <f>IF(N230="","",ROUND(N230*N(O230)/100*N(P230)/12,0))</f>
        <v/>
      </c>
      <c r="AG230" s="7">
        <f>IF(I230="","",I230+AC230+AD230+AE230+N(K230)+N(L230)+N(M230)+N(Q230)+N(AF230))</f>
        <v/>
      </c>
      <c r="AH230" s="7">
        <f>IF(OR(R230="",S230=""),"",ROUND(R230*S230/100,0))</f>
        <v/>
      </c>
      <c r="AI230" s="7">
        <f>IF(OR(AG230="",R230=""),"",R230-N(AH230)-AG230)</f>
        <v/>
      </c>
      <c r="AJ230" s="6">
        <f>IF(AI230="","",ROUND(AI230/AG230*100,1))</f>
        <v/>
      </c>
    </row>
    <row r="231">
      <c r="A231" s="3" t="n"/>
      <c r="B231" s="3" t="n"/>
      <c r="C231" s="4" t="n"/>
      <c r="D231" s="3" t="n"/>
      <c r="E231" s="3" t="n"/>
      <c r="F231" s="3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3" t="n"/>
      <c r="P231" s="3" t="n"/>
      <c r="Q231" s="5" t="n"/>
      <c r="R231" s="5" t="n"/>
      <c r="S231" s="3" t="n"/>
      <c r="T231" s="3" t="n"/>
      <c r="U231" s="3" t="n"/>
      <c r="V231" s="3" t="n"/>
      <c r="W231" s="3" t="n"/>
      <c r="X231" s="3" t="n"/>
      <c r="Y231" s="3" t="n"/>
      <c r="Z231" s="6">
        <f>IF(F231="","",ROUND(F231/3.305785,1))</f>
        <v/>
      </c>
      <c r="AA231" s="6">
        <f>IF(OR(G231="",I231=""),"",ROUND(I231/G231*100,1))</f>
        <v/>
      </c>
      <c r="AB231" s="7">
        <f>IF(OR(Z231="",I231=""),"",ROUND(I231/Z231,0))</f>
        <v/>
      </c>
      <c r="AC231" s="7">
        <f>IF(I231="","",FLOOR(I231*IF(T231&lt;&gt;"",T231,IF(E231="농지",3,4))/100,10))</f>
        <v/>
      </c>
      <c r="AD231" s="7">
        <f>IF(I231="","",FLOOR(I231*IF(T231&lt;&gt;"",N(U231),0.2)/100,10))</f>
        <v/>
      </c>
      <c r="AE231" s="7">
        <f>IF(I231="","",FLOOR(I231*IF(T231&lt;&gt;"",N(V231),(IF(E231="농지",3,4)-2)*0.2)/100,10))</f>
        <v/>
      </c>
      <c r="AF231" s="7">
        <f>IF(N231="","",ROUND(N231*N(O231)/100*N(P231)/12,0))</f>
        <v/>
      </c>
      <c r="AG231" s="7">
        <f>IF(I231="","",I231+AC231+AD231+AE231+N(K231)+N(L231)+N(M231)+N(Q231)+N(AF231))</f>
        <v/>
      </c>
      <c r="AH231" s="7">
        <f>IF(OR(R231="",S231=""),"",ROUND(R231*S231/100,0))</f>
        <v/>
      </c>
      <c r="AI231" s="7">
        <f>IF(OR(AG231="",R231=""),"",R231-N(AH231)-AG231)</f>
        <v/>
      </c>
      <c r="AJ231" s="6">
        <f>IF(AI231="","",ROUND(AI231/AG231*100,1))</f>
        <v/>
      </c>
    </row>
    <row r="232">
      <c r="A232" s="3" t="n"/>
      <c r="B232" s="3" t="n"/>
      <c r="C232" s="4" t="n"/>
      <c r="D232" s="3" t="n"/>
      <c r="E232" s="3" t="n"/>
      <c r="F232" s="3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3" t="n"/>
      <c r="P232" s="3" t="n"/>
      <c r="Q232" s="5" t="n"/>
      <c r="R232" s="5" t="n"/>
      <c r="S232" s="3" t="n"/>
      <c r="T232" s="3" t="n"/>
      <c r="U232" s="3" t="n"/>
      <c r="V232" s="3" t="n"/>
      <c r="W232" s="3" t="n"/>
      <c r="X232" s="3" t="n"/>
      <c r="Y232" s="3" t="n"/>
      <c r="Z232" s="6">
        <f>IF(F232="","",ROUND(F232/3.305785,1))</f>
        <v/>
      </c>
      <c r="AA232" s="6">
        <f>IF(OR(G232="",I232=""),"",ROUND(I232/G232*100,1))</f>
        <v/>
      </c>
      <c r="AB232" s="7">
        <f>IF(OR(Z232="",I232=""),"",ROUND(I232/Z232,0))</f>
        <v/>
      </c>
      <c r="AC232" s="7">
        <f>IF(I232="","",FLOOR(I232*IF(T232&lt;&gt;"",T232,IF(E232="농지",3,4))/100,10))</f>
        <v/>
      </c>
      <c r="AD232" s="7">
        <f>IF(I232="","",FLOOR(I232*IF(T232&lt;&gt;"",N(U232),0.2)/100,10))</f>
        <v/>
      </c>
      <c r="AE232" s="7">
        <f>IF(I232="","",FLOOR(I232*IF(T232&lt;&gt;"",N(V232),(IF(E232="농지",3,4)-2)*0.2)/100,10))</f>
        <v/>
      </c>
      <c r="AF232" s="7">
        <f>IF(N232="","",ROUND(N232*N(O232)/100*N(P232)/12,0))</f>
        <v/>
      </c>
      <c r="AG232" s="7">
        <f>IF(I232="","",I232+AC232+AD232+AE232+N(K232)+N(L232)+N(M232)+N(Q232)+N(AF232))</f>
        <v/>
      </c>
      <c r="AH232" s="7">
        <f>IF(OR(R232="",S232=""),"",ROUND(R232*S232/100,0))</f>
        <v/>
      </c>
      <c r="AI232" s="7">
        <f>IF(OR(AG232="",R232=""),"",R232-N(AH232)-AG232)</f>
        <v/>
      </c>
      <c r="AJ232" s="6">
        <f>IF(AI232="","",ROUND(AI232/AG232*100,1))</f>
        <v/>
      </c>
    </row>
    <row r="233">
      <c r="A233" s="3" t="n"/>
      <c r="B233" s="3" t="n"/>
      <c r="C233" s="4" t="n"/>
      <c r="D233" s="3" t="n"/>
      <c r="E233" s="3" t="n"/>
      <c r="F233" s="3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3" t="n"/>
      <c r="P233" s="3" t="n"/>
      <c r="Q233" s="5" t="n"/>
      <c r="R233" s="5" t="n"/>
      <c r="S233" s="3" t="n"/>
      <c r="T233" s="3" t="n"/>
      <c r="U233" s="3" t="n"/>
      <c r="V233" s="3" t="n"/>
      <c r="W233" s="3" t="n"/>
      <c r="X233" s="3" t="n"/>
      <c r="Y233" s="3" t="n"/>
      <c r="Z233" s="6">
        <f>IF(F233="","",ROUND(F233/3.305785,1))</f>
        <v/>
      </c>
      <c r="AA233" s="6">
        <f>IF(OR(G233="",I233=""),"",ROUND(I233/G233*100,1))</f>
        <v/>
      </c>
      <c r="AB233" s="7">
        <f>IF(OR(Z233="",I233=""),"",ROUND(I233/Z233,0))</f>
        <v/>
      </c>
      <c r="AC233" s="7">
        <f>IF(I233="","",FLOOR(I233*IF(T233&lt;&gt;"",T233,IF(E233="농지",3,4))/100,10))</f>
        <v/>
      </c>
      <c r="AD233" s="7">
        <f>IF(I233="","",FLOOR(I233*IF(T233&lt;&gt;"",N(U233),0.2)/100,10))</f>
        <v/>
      </c>
      <c r="AE233" s="7">
        <f>IF(I233="","",FLOOR(I233*IF(T233&lt;&gt;"",N(V233),(IF(E233="농지",3,4)-2)*0.2)/100,10))</f>
        <v/>
      </c>
      <c r="AF233" s="7">
        <f>IF(N233="","",ROUND(N233*N(O233)/100*N(P233)/12,0))</f>
        <v/>
      </c>
      <c r="AG233" s="7">
        <f>IF(I233="","",I233+AC233+AD233+AE233+N(K233)+N(L233)+N(M233)+N(Q233)+N(AF233))</f>
        <v/>
      </c>
      <c r="AH233" s="7">
        <f>IF(OR(R233="",S233=""),"",ROUND(R233*S233/100,0))</f>
        <v/>
      </c>
      <c r="AI233" s="7">
        <f>IF(OR(AG233="",R233=""),"",R233-N(AH233)-AG233)</f>
        <v/>
      </c>
      <c r="AJ233" s="6">
        <f>IF(AI233="","",ROUND(AI233/AG233*100,1))</f>
        <v/>
      </c>
    </row>
    <row r="234">
      <c r="A234" s="3" t="n"/>
      <c r="B234" s="3" t="n"/>
      <c r="C234" s="4" t="n"/>
      <c r="D234" s="3" t="n"/>
      <c r="E234" s="3" t="n"/>
      <c r="F234" s="3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3" t="n"/>
      <c r="P234" s="3" t="n"/>
      <c r="Q234" s="5" t="n"/>
      <c r="R234" s="5" t="n"/>
      <c r="S234" s="3" t="n"/>
      <c r="T234" s="3" t="n"/>
      <c r="U234" s="3" t="n"/>
      <c r="V234" s="3" t="n"/>
      <c r="W234" s="3" t="n"/>
      <c r="X234" s="3" t="n"/>
      <c r="Y234" s="3" t="n"/>
      <c r="Z234" s="6">
        <f>IF(F234="","",ROUND(F234/3.305785,1))</f>
        <v/>
      </c>
      <c r="AA234" s="6">
        <f>IF(OR(G234="",I234=""),"",ROUND(I234/G234*100,1))</f>
        <v/>
      </c>
      <c r="AB234" s="7">
        <f>IF(OR(Z234="",I234=""),"",ROUND(I234/Z234,0))</f>
        <v/>
      </c>
      <c r="AC234" s="7">
        <f>IF(I234="","",FLOOR(I234*IF(T234&lt;&gt;"",T234,IF(E234="농지",3,4))/100,10))</f>
        <v/>
      </c>
      <c r="AD234" s="7">
        <f>IF(I234="","",FLOOR(I234*IF(T234&lt;&gt;"",N(U234),0.2)/100,10))</f>
        <v/>
      </c>
      <c r="AE234" s="7">
        <f>IF(I234="","",FLOOR(I234*IF(T234&lt;&gt;"",N(V234),(IF(E234="농지",3,4)-2)*0.2)/100,10))</f>
        <v/>
      </c>
      <c r="AF234" s="7">
        <f>IF(N234="","",ROUND(N234*N(O234)/100*N(P234)/12,0))</f>
        <v/>
      </c>
      <c r="AG234" s="7">
        <f>IF(I234="","",I234+AC234+AD234+AE234+N(K234)+N(L234)+N(M234)+N(Q234)+N(AF234))</f>
        <v/>
      </c>
      <c r="AH234" s="7">
        <f>IF(OR(R234="",S234=""),"",ROUND(R234*S234/100,0))</f>
        <v/>
      </c>
      <c r="AI234" s="7">
        <f>IF(OR(AG234="",R234=""),"",R234-N(AH234)-AG234)</f>
        <v/>
      </c>
      <c r="AJ234" s="6">
        <f>IF(AI234="","",ROUND(AI234/AG234*100,1))</f>
        <v/>
      </c>
    </row>
    <row r="235">
      <c r="A235" s="3" t="n"/>
      <c r="B235" s="3" t="n"/>
      <c r="C235" s="4" t="n"/>
      <c r="D235" s="3" t="n"/>
      <c r="E235" s="3" t="n"/>
      <c r="F235" s="3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3" t="n"/>
      <c r="P235" s="3" t="n"/>
      <c r="Q235" s="5" t="n"/>
      <c r="R235" s="5" t="n"/>
      <c r="S235" s="3" t="n"/>
      <c r="T235" s="3" t="n"/>
      <c r="U235" s="3" t="n"/>
      <c r="V235" s="3" t="n"/>
      <c r="W235" s="3" t="n"/>
      <c r="X235" s="3" t="n"/>
      <c r="Y235" s="3" t="n"/>
      <c r="Z235" s="6">
        <f>IF(F235="","",ROUND(F235/3.305785,1))</f>
        <v/>
      </c>
      <c r="AA235" s="6">
        <f>IF(OR(G235="",I235=""),"",ROUND(I235/G235*100,1))</f>
        <v/>
      </c>
      <c r="AB235" s="7">
        <f>IF(OR(Z235="",I235=""),"",ROUND(I235/Z235,0))</f>
        <v/>
      </c>
      <c r="AC235" s="7">
        <f>IF(I235="","",FLOOR(I235*IF(T235&lt;&gt;"",T235,IF(E235="농지",3,4))/100,10))</f>
        <v/>
      </c>
      <c r="AD235" s="7">
        <f>IF(I235="","",FLOOR(I235*IF(T235&lt;&gt;"",N(U235),0.2)/100,10))</f>
        <v/>
      </c>
      <c r="AE235" s="7">
        <f>IF(I235="","",FLOOR(I235*IF(T235&lt;&gt;"",N(V235),(IF(E235="농지",3,4)-2)*0.2)/100,10))</f>
        <v/>
      </c>
      <c r="AF235" s="7">
        <f>IF(N235="","",ROUND(N235*N(O235)/100*N(P235)/12,0))</f>
        <v/>
      </c>
      <c r="AG235" s="7">
        <f>IF(I235="","",I235+AC235+AD235+AE235+N(K235)+N(L235)+N(M235)+N(Q235)+N(AF235))</f>
        <v/>
      </c>
      <c r="AH235" s="7">
        <f>IF(OR(R235="",S235=""),"",ROUND(R235*S235/100,0))</f>
        <v/>
      </c>
      <c r="AI235" s="7">
        <f>IF(OR(AG235="",R235=""),"",R235-N(AH235)-AG235)</f>
        <v/>
      </c>
      <c r="AJ235" s="6">
        <f>IF(AI235="","",ROUND(AI235/AG235*100,1))</f>
        <v/>
      </c>
    </row>
    <row r="236">
      <c r="A236" s="3" t="n"/>
      <c r="B236" s="3" t="n"/>
      <c r="C236" s="4" t="n"/>
      <c r="D236" s="3" t="n"/>
      <c r="E236" s="3" t="n"/>
      <c r="F236" s="3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3" t="n"/>
      <c r="P236" s="3" t="n"/>
      <c r="Q236" s="5" t="n"/>
      <c r="R236" s="5" t="n"/>
      <c r="S236" s="3" t="n"/>
      <c r="T236" s="3" t="n"/>
      <c r="U236" s="3" t="n"/>
      <c r="V236" s="3" t="n"/>
      <c r="W236" s="3" t="n"/>
      <c r="X236" s="3" t="n"/>
      <c r="Y236" s="3" t="n"/>
      <c r="Z236" s="6">
        <f>IF(F236="","",ROUND(F236/3.305785,1))</f>
        <v/>
      </c>
      <c r="AA236" s="6">
        <f>IF(OR(G236="",I236=""),"",ROUND(I236/G236*100,1))</f>
        <v/>
      </c>
      <c r="AB236" s="7">
        <f>IF(OR(Z236="",I236=""),"",ROUND(I236/Z236,0))</f>
        <v/>
      </c>
      <c r="AC236" s="7">
        <f>IF(I236="","",FLOOR(I236*IF(T236&lt;&gt;"",T236,IF(E236="농지",3,4))/100,10))</f>
        <v/>
      </c>
      <c r="AD236" s="7">
        <f>IF(I236="","",FLOOR(I236*IF(T236&lt;&gt;"",N(U236),0.2)/100,10))</f>
        <v/>
      </c>
      <c r="AE236" s="7">
        <f>IF(I236="","",FLOOR(I236*IF(T236&lt;&gt;"",N(V236),(IF(E236="농지",3,4)-2)*0.2)/100,10))</f>
        <v/>
      </c>
      <c r="AF236" s="7">
        <f>IF(N236="","",ROUND(N236*N(O236)/100*N(P236)/12,0))</f>
        <v/>
      </c>
      <c r="AG236" s="7">
        <f>IF(I236="","",I236+AC236+AD236+AE236+N(K236)+N(L236)+N(M236)+N(Q236)+N(AF236))</f>
        <v/>
      </c>
      <c r="AH236" s="7">
        <f>IF(OR(R236="",S236=""),"",ROUND(R236*S236/100,0))</f>
        <v/>
      </c>
      <c r="AI236" s="7">
        <f>IF(OR(AG236="",R236=""),"",R236-N(AH236)-AG236)</f>
        <v/>
      </c>
      <c r="AJ236" s="6">
        <f>IF(AI236="","",ROUND(AI236/AG236*100,1))</f>
        <v/>
      </c>
    </row>
    <row r="237">
      <c r="A237" s="3" t="n"/>
      <c r="B237" s="3" t="n"/>
      <c r="C237" s="4" t="n"/>
      <c r="D237" s="3" t="n"/>
      <c r="E237" s="3" t="n"/>
      <c r="F237" s="3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3" t="n"/>
      <c r="P237" s="3" t="n"/>
      <c r="Q237" s="5" t="n"/>
      <c r="R237" s="5" t="n"/>
      <c r="S237" s="3" t="n"/>
      <c r="T237" s="3" t="n"/>
      <c r="U237" s="3" t="n"/>
      <c r="V237" s="3" t="n"/>
      <c r="W237" s="3" t="n"/>
      <c r="X237" s="3" t="n"/>
      <c r="Y237" s="3" t="n"/>
      <c r="Z237" s="6">
        <f>IF(F237="","",ROUND(F237/3.305785,1))</f>
        <v/>
      </c>
      <c r="AA237" s="6">
        <f>IF(OR(G237="",I237=""),"",ROUND(I237/G237*100,1))</f>
        <v/>
      </c>
      <c r="AB237" s="7">
        <f>IF(OR(Z237="",I237=""),"",ROUND(I237/Z237,0))</f>
        <v/>
      </c>
      <c r="AC237" s="7">
        <f>IF(I237="","",FLOOR(I237*IF(T237&lt;&gt;"",T237,IF(E237="농지",3,4))/100,10))</f>
        <v/>
      </c>
      <c r="AD237" s="7">
        <f>IF(I237="","",FLOOR(I237*IF(T237&lt;&gt;"",N(U237),0.2)/100,10))</f>
        <v/>
      </c>
      <c r="AE237" s="7">
        <f>IF(I237="","",FLOOR(I237*IF(T237&lt;&gt;"",N(V237),(IF(E237="농지",3,4)-2)*0.2)/100,10))</f>
        <v/>
      </c>
      <c r="AF237" s="7">
        <f>IF(N237="","",ROUND(N237*N(O237)/100*N(P237)/12,0))</f>
        <v/>
      </c>
      <c r="AG237" s="7">
        <f>IF(I237="","",I237+AC237+AD237+AE237+N(K237)+N(L237)+N(M237)+N(Q237)+N(AF237))</f>
        <v/>
      </c>
      <c r="AH237" s="7">
        <f>IF(OR(R237="",S237=""),"",ROUND(R237*S237/100,0))</f>
        <v/>
      </c>
      <c r="AI237" s="7">
        <f>IF(OR(AG237="",R237=""),"",R237-N(AH237)-AG237)</f>
        <v/>
      </c>
      <c r="AJ237" s="6">
        <f>IF(AI237="","",ROUND(AI237/AG237*100,1))</f>
        <v/>
      </c>
    </row>
    <row r="238">
      <c r="A238" s="3" t="n"/>
      <c r="B238" s="3" t="n"/>
      <c r="C238" s="4" t="n"/>
      <c r="D238" s="3" t="n"/>
      <c r="E238" s="3" t="n"/>
      <c r="F238" s="3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3" t="n"/>
      <c r="P238" s="3" t="n"/>
      <c r="Q238" s="5" t="n"/>
      <c r="R238" s="5" t="n"/>
      <c r="S238" s="3" t="n"/>
      <c r="T238" s="3" t="n"/>
      <c r="U238" s="3" t="n"/>
      <c r="V238" s="3" t="n"/>
      <c r="W238" s="3" t="n"/>
      <c r="X238" s="3" t="n"/>
      <c r="Y238" s="3" t="n"/>
      <c r="Z238" s="6">
        <f>IF(F238="","",ROUND(F238/3.305785,1))</f>
        <v/>
      </c>
      <c r="AA238" s="6">
        <f>IF(OR(G238="",I238=""),"",ROUND(I238/G238*100,1))</f>
        <v/>
      </c>
      <c r="AB238" s="7">
        <f>IF(OR(Z238="",I238=""),"",ROUND(I238/Z238,0))</f>
        <v/>
      </c>
      <c r="AC238" s="7">
        <f>IF(I238="","",FLOOR(I238*IF(T238&lt;&gt;"",T238,IF(E238="농지",3,4))/100,10))</f>
        <v/>
      </c>
      <c r="AD238" s="7">
        <f>IF(I238="","",FLOOR(I238*IF(T238&lt;&gt;"",N(U238),0.2)/100,10))</f>
        <v/>
      </c>
      <c r="AE238" s="7">
        <f>IF(I238="","",FLOOR(I238*IF(T238&lt;&gt;"",N(V238),(IF(E238="농지",3,4)-2)*0.2)/100,10))</f>
        <v/>
      </c>
      <c r="AF238" s="7">
        <f>IF(N238="","",ROUND(N238*N(O238)/100*N(P238)/12,0))</f>
        <v/>
      </c>
      <c r="AG238" s="7">
        <f>IF(I238="","",I238+AC238+AD238+AE238+N(K238)+N(L238)+N(M238)+N(Q238)+N(AF238))</f>
        <v/>
      </c>
      <c r="AH238" s="7">
        <f>IF(OR(R238="",S238=""),"",ROUND(R238*S238/100,0))</f>
        <v/>
      </c>
      <c r="AI238" s="7">
        <f>IF(OR(AG238="",R238=""),"",R238-N(AH238)-AG238)</f>
        <v/>
      </c>
      <c r="AJ238" s="6">
        <f>IF(AI238="","",ROUND(AI238/AG238*100,1))</f>
        <v/>
      </c>
    </row>
    <row r="239">
      <c r="A239" s="3" t="n"/>
      <c r="B239" s="3" t="n"/>
      <c r="C239" s="4" t="n"/>
      <c r="D239" s="3" t="n"/>
      <c r="E239" s="3" t="n"/>
      <c r="F239" s="3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3" t="n"/>
      <c r="P239" s="3" t="n"/>
      <c r="Q239" s="5" t="n"/>
      <c r="R239" s="5" t="n"/>
      <c r="S239" s="3" t="n"/>
      <c r="T239" s="3" t="n"/>
      <c r="U239" s="3" t="n"/>
      <c r="V239" s="3" t="n"/>
      <c r="W239" s="3" t="n"/>
      <c r="X239" s="3" t="n"/>
      <c r="Y239" s="3" t="n"/>
      <c r="Z239" s="6">
        <f>IF(F239="","",ROUND(F239/3.305785,1))</f>
        <v/>
      </c>
      <c r="AA239" s="6">
        <f>IF(OR(G239="",I239=""),"",ROUND(I239/G239*100,1))</f>
        <v/>
      </c>
      <c r="AB239" s="7">
        <f>IF(OR(Z239="",I239=""),"",ROUND(I239/Z239,0))</f>
        <v/>
      </c>
      <c r="AC239" s="7">
        <f>IF(I239="","",FLOOR(I239*IF(T239&lt;&gt;"",T239,IF(E239="농지",3,4))/100,10))</f>
        <v/>
      </c>
      <c r="AD239" s="7">
        <f>IF(I239="","",FLOOR(I239*IF(T239&lt;&gt;"",N(U239),0.2)/100,10))</f>
        <v/>
      </c>
      <c r="AE239" s="7">
        <f>IF(I239="","",FLOOR(I239*IF(T239&lt;&gt;"",N(V239),(IF(E239="농지",3,4)-2)*0.2)/100,10))</f>
        <v/>
      </c>
      <c r="AF239" s="7">
        <f>IF(N239="","",ROUND(N239*N(O239)/100*N(P239)/12,0))</f>
        <v/>
      </c>
      <c r="AG239" s="7">
        <f>IF(I239="","",I239+AC239+AD239+AE239+N(K239)+N(L239)+N(M239)+N(Q239)+N(AF239))</f>
        <v/>
      </c>
      <c r="AH239" s="7">
        <f>IF(OR(R239="",S239=""),"",ROUND(R239*S239/100,0))</f>
        <v/>
      </c>
      <c r="AI239" s="7">
        <f>IF(OR(AG239="",R239=""),"",R239-N(AH239)-AG239)</f>
        <v/>
      </c>
      <c r="AJ239" s="6">
        <f>IF(AI239="","",ROUND(AI239/AG239*100,1))</f>
        <v/>
      </c>
    </row>
    <row r="240">
      <c r="A240" s="3" t="n"/>
      <c r="B240" s="3" t="n"/>
      <c r="C240" s="4" t="n"/>
      <c r="D240" s="3" t="n"/>
      <c r="E240" s="3" t="n"/>
      <c r="F240" s="3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3" t="n"/>
      <c r="P240" s="3" t="n"/>
      <c r="Q240" s="5" t="n"/>
      <c r="R240" s="5" t="n"/>
      <c r="S240" s="3" t="n"/>
      <c r="T240" s="3" t="n"/>
      <c r="U240" s="3" t="n"/>
      <c r="V240" s="3" t="n"/>
      <c r="W240" s="3" t="n"/>
      <c r="X240" s="3" t="n"/>
      <c r="Y240" s="3" t="n"/>
      <c r="Z240" s="6">
        <f>IF(F240="","",ROUND(F240/3.305785,1))</f>
        <v/>
      </c>
      <c r="AA240" s="6">
        <f>IF(OR(G240="",I240=""),"",ROUND(I240/G240*100,1))</f>
        <v/>
      </c>
      <c r="AB240" s="7">
        <f>IF(OR(Z240="",I240=""),"",ROUND(I240/Z240,0))</f>
        <v/>
      </c>
      <c r="AC240" s="7">
        <f>IF(I240="","",FLOOR(I240*IF(T240&lt;&gt;"",T240,IF(E240="농지",3,4))/100,10))</f>
        <v/>
      </c>
      <c r="AD240" s="7">
        <f>IF(I240="","",FLOOR(I240*IF(T240&lt;&gt;"",N(U240),0.2)/100,10))</f>
        <v/>
      </c>
      <c r="AE240" s="7">
        <f>IF(I240="","",FLOOR(I240*IF(T240&lt;&gt;"",N(V240),(IF(E240="농지",3,4)-2)*0.2)/100,10))</f>
        <v/>
      </c>
      <c r="AF240" s="7">
        <f>IF(N240="","",ROUND(N240*N(O240)/100*N(P240)/12,0))</f>
        <v/>
      </c>
      <c r="AG240" s="7">
        <f>IF(I240="","",I240+AC240+AD240+AE240+N(K240)+N(L240)+N(M240)+N(Q240)+N(AF240))</f>
        <v/>
      </c>
      <c r="AH240" s="7">
        <f>IF(OR(R240="",S240=""),"",ROUND(R240*S240/100,0))</f>
        <v/>
      </c>
      <c r="AI240" s="7">
        <f>IF(OR(AG240="",R240=""),"",R240-N(AH240)-AG240)</f>
        <v/>
      </c>
      <c r="AJ240" s="6">
        <f>IF(AI240="","",ROUND(AI240/AG240*100,1))</f>
        <v/>
      </c>
    </row>
    <row r="241">
      <c r="A241" s="3" t="n"/>
      <c r="B241" s="3" t="n"/>
      <c r="C241" s="4" t="n"/>
      <c r="D241" s="3" t="n"/>
      <c r="E241" s="3" t="n"/>
      <c r="F241" s="3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3" t="n"/>
      <c r="P241" s="3" t="n"/>
      <c r="Q241" s="5" t="n"/>
      <c r="R241" s="5" t="n"/>
      <c r="S241" s="3" t="n"/>
      <c r="T241" s="3" t="n"/>
      <c r="U241" s="3" t="n"/>
      <c r="V241" s="3" t="n"/>
      <c r="W241" s="3" t="n"/>
      <c r="X241" s="3" t="n"/>
      <c r="Y241" s="3" t="n"/>
      <c r="Z241" s="6">
        <f>IF(F241="","",ROUND(F241/3.305785,1))</f>
        <v/>
      </c>
      <c r="AA241" s="6">
        <f>IF(OR(G241="",I241=""),"",ROUND(I241/G241*100,1))</f>
        <v/>
      </c>
      <c r="AB241" s="7">
        <f>IF(OR(Z241="",I241=""),"",ROUND(I241/Z241,0))</f>
        <v/>
      </c>
      <c r="AC241" s="7">
        <f>IF(I241="","",FLOOR(I241*IF(T241&lt;&gt;"",T241,IF(E241="농지",3,4))/100,10))</f>
        <v/>
      </c>
      <c r="AD241" s="7">
        <f>IF(I241="","",FLOOR(I241*IF(T241&lt;&gt;"",N(U241),0.2)/100,10))</f>
        <v/>
      </c>
      <c r="AE241" s="7">
        <f>IF(I241="","",FLOOR(I241*IF(T241&lt;&gt;"",N(V241),(IF(E241="농지",3,4)-2)*0.2)/100,10))</f>
        <v/>
      </c>
      <c r="AF241" s="7">
        <f>IF(N241="","",ROUND(N241*N(O241)/100*N(P241)/12,0))</f>
        <v/>
      </c>
      <c r="AG241" s="7">
        <f>IF(I241="","",I241+AC241+AD241+AE241+N(K241)+N(L241)+N(M241)+N(Q241)+N(AF241))</f>
        <v/>
      </c>
      <c r="AH241" s="7">
        <f>IF(OR(R241="",S241=""),"",ROUND(R241*S241/100,0))</f>
        <v/>
      </c>
      <c r="AI241" s="7">
        <f>IF(OR(AG241="",R241=""),"",R241-N(AH241)-AG241)</f>
        <v/>
      </c>
      <c r="AJ241" s="6">
        <f>IF(AI241="","",ROUND(AI241/AG241*100,1))</f>
        <v/>
      </c>
    </row>
    <row r="242">
      <c r="A242" s="3" t="n"/>
      <c r="B242" s="3" t="n"/>
      <c r="C242" s="4" t="n"/>
      <c r="D242" s="3" t="n"/>
      <c r="E242" s="3" t="n"/>
      <c r="F242" s="3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3" t="n"/>
      <c r="P242" s="3" t="n"/>
      <c r="Q242" s="5" t="n"/>
      <c r="R242" s="5" t="n"/>
      <c r="S242" s="3" t="n"/>
      <c r="T242" s="3" t="n"/>
      <c r="U242" s="3" t="n"/>
      <c r="V242" s="3" t="n"/>
      <c r="W242" s="3" t="n"/>
      <c r="X242" s="3" t="n"/>
      <c r="Y242" s="3" t="n"/>
      <c r="Z242" s="6">
        <f>IF(F242="","",ROUND(F242/3.305785,1))</f>
        <v/>
      </c>
      <c r="AA242" s="6">
        <f>IF(OR(G242="",I242=""),"",ROUND(I242/G242*100,1))</f>
        <v/>
      </c>
      <c r="AB242" s="7">
        <f>IF(OR(Z242="",I242=""),"",ROUND(I242/Z242,0))</f>
        <v/>
      </c>
      <c r="AC242" s="7">
        <f>IF(I242="","",FLOOR(I242*IF(T242&lt;&gt;"",T242,IF(E242="농지",3,4))/100,10))</f>
        <v/>
      </c>
      <c r="AD242" s="7">
        <f>IF(I242="","",FLOOR(I242*IF(T242&lt;&gt;"",N(U242),0.2)/100,10))</f>
        <v/>
      </c>
      <c r="AE242" s="7">
        <f>IF(I242="","",FLOOR(I242*IF(T242&lt;&gt;"",N(V242),(IF(E242="농지",3,4)-2)*0.2)/100,10))</f>
        <v/>
      </c>
      <c r="AF242" s="7">
        <f>IF(N242="","",ROUND(N242*N(O242)/100*N(P242)/12,0))</f>
        <v/>
      </c>
      <c r="AG242" s="7">
        <f>IF(I242="","",I242+AC242+AD242+AE242+N(K242)+N(L242)+N(M242)+N(Q242)+N(AF242))</f>
        <v/>
      </c>
      <c r="AH242" s="7">
        <f>IF(OR(R242="",S242=""),"",ROUND(R242*S242/100,0))</f>
        <v/>
      </c>
      <c r="AI242" s="7">
        <f>IF(OR(AG242="",R242=""),"",R242-N(AH242)-AG242)</f>
        <v/>
      </c>
      <c r="AJ242" s="6">
        <f>IF(AI242="","",ROUND(AI242/AG242*100,1))</f>
        <v/>
      </c>
    </row>
    <row r="243">
      <c r="A243" s="3" t="n"/>
      <c r="B243" s="3" t="n"/>
      <c r="C243" s="4" t="n"/>
      <c r="D243" s="3" t="n"/>
      <c r="E243" s="3" t="n"/>
      <c r="F243" s="3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3" t="n"/>
      <c r="P243" s="3" t="n"/>
      <c r="Q243" s="5" t="n"/>
      <c r="R243" s="5" t="n"/>
      <c r="S243" s="3" t="n"/>
      <c r="T243" s="3" t="n"/>
      <c r="U243" s="3" t="n"/>
      <c r="V243" s="3" t="n"/>
      <c r="W243" s="3" t="n"/>
      <c r="X243" s="3" t="n"/>
      <c r="Y243" s="3" t="n"/>
      <c r="Z243" s="6">
        <f>IF(F243="","",ROUND(F243/3.305785,1))</f>
        <v/>
      </c>
      <c r="AA243" s="6">
        <f>IF(OR(G243="",I243=""),"",ROUND(I243/G243*100,1))</f>
        <v/>
      </c>
      <c r="AB243" s="7">
        <f>IF(OR(Z243="",I243=""),"",ROUND(I243/Z243,0))</f>
        <v/>
      </c>
      <c r="AC243" s="7">
        <f>IF(I243="","",FLOOR(I243*IF(T243&lt;&gt;"",T243,IF(E243="농지",3,4))/100,10))</f>
        <v/>
      </c>
      <c r="AD243" s="7">
        <f>IF(I243="","",FLOOR(I243*IF(T243&lt;&gt;"",N(U243),0.2)/100,10))</f>
        <v/>
      </c>
      <c r="AE243" s="7">
        <f>IF(I243="","",FLOOR(I243*IF(T243&lt;&gt;"",N(V243),(IF(E243="농지",3,4)-2)*0.2)/100,10))</f>
        <v/>
      </c>
      <c r="AF243" s="7">
        <f>IF(N243="","",ROUND(N243*N(O243)/100*N(P243)/12,0))</f>
        <v/>
      </c>
      <c r="AG243" s="7">
        <f>IF(I243="","",I243+AC243+AD243+AE243+N(K243)+N(L243)+N(M243)+N(Q243)+N(AF243))</f>
        <v/>
      </c>
      <c r="AH243" s="7">
        <f>IF(OR(R243="",S243=""),"",ROUND(R243*S243/100,0))</f>
        <v/>
      </c>
      <c r="AI243" s="7">
        <f>IF(OR(AG243="",R243=""),"",R243-N(AH243)-AG243)</f>
        <v/>
      </c>
      <c r="AJ243" s="6">
        <f>IF(AI243="","",ROUND(AI243/AG243*100,1))</f>
        <v/>
      </c>
    </row>
    <row r="244">
      <c r="A244" s="3" t="n"/>
      <c r="B244" s="3" t="n"/>
      <c r="C244" s="4" t="n"/>
      <c r="D244" s="3" t="n"/>
      <c r="E244" s="3" t="n"/>
      <c r="F244" s="3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3" t="n"/>
      <c r="P244" s="3" t="n"/>
      <c r="Q244" s="5" t="n"/>
      <c r="R244" s="5" t="n"/>
      <c r="S244" s="3" t="n"/>
      <c r="T244" s="3" t="n"/>
      <c r="U244" s="3" t="n"/>
      <c r="V244" s="3" t="n"/>
      <c r="W244" s="3" t="n"/>
      <c r="X244" s="3" t="n"/>
      <c r="Y244" s="3" t="n"/>
      <c r="Z244" s="6">
        <f>IF(F244="","",ROUND(F244/3.305785,1))</f>
        <v/>
      </c>
      <c r="AA244" s="6">
        <f>IF(OR(G244="",I244=""),"",ROUND(I244/G244*100,1))</f>
        <v/>
      </c>
      <c r="AB244" s="7">
        <f>IF(OR(Z244="",I244=""),"",ROUND(I244/Z244,0))</f>
        <v/>
      </c>
      <c r="AC244" s="7">
        <f>IF(I244="","",FLOOR(I244*IF(T244&lt;&gt;"",T244,IF(E244="농지",3,4))/100,10))</f>
        <v/>
      </c>
      <c r="AD244" s="7">
        <f>IF(I244="","",FLOOR(I244*IF(T244&lt;&gt;"",N(U244),0.2)/100,10))</f>
        <v/>
      </c>
      <c r="AE244" s="7">
        <f>IF(I244="","",FLOOR(I244*IF(T244&lt;&gt;"",N(V244),(IF(E244="농지",3,4)-2)*0.2)/100,10))</f>
        <v/>
      </c>
      <c r="AF244" s="7">
        <f>IF(N244="","",ROUND(N244*N(O244)/100*N(P244)/12,0))</f>
        <v/>
      </c>
      <c r="AG244" s="7">
        <f>IF(I244="","",I244+AC244+AD244+AE244+N(K244)+N(L244)+N(M244)+N(Q244)+N(AF244))</f>
        <v/>
      </c>
      <c r="AH244" s="7">
        <f>IF(OR(R244="",S244=""),"",ROUND(R244*S244/100,0))</f>
        <v/>
      </c>
      <c r="AI244" s="7">
        <f>IF(OR(AG244="",R244=""),"",R244-N(AH244)-AG244)</f>
        <v/>
      </c>
      <c r="AJ244" s="6">
        <f>IF(AI244="","",ROUND(AI244/AG244*100,1))</f>
        <v/>
      </c>
    </row>
    <row r="245">
      <c r="A245" s="3" t="n"/>
      <c r="B245" s="3" t="n"/>
      <c r="C245" s="4" t="n"/>
      <c r="D245" s="3" t="n"/>
      <c r="E245" s="3" t="n"/>
      <c r="F245" s="3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3" t="n"/>
      <c r="P245" s="3" t="n"/>
      <c r="Q245" s="5" t="n"/>
      <c r="R245" s="5" t="n"/>
      <c r="S245" s="3" t="n"/>
      <c r="T245" s="3" t="n"/>
      <c r="U245" s="3" t="n"/>
      <c r="V245" s="3" t="n"/>
      <c r="W245" s="3" t="n"/>
      <c r="X245" s="3" t="n"/>
      <c r="Y245" s="3" t="n"/>
      <c r="Z245" s="6">
        <f>IF(F245="","",ROUND(F245/3.305785,1))</f>
        <v/>
      </c>
      <c r="AA245" s="6">
        <f>IF(OR(G245="",I245=""),"",ROUND(I245/G245*100,1))</f>
        <v/>
      </c>
      <c r="AB245" s="7">
        <f>IF(OR(Z245="",I245=""),"",ROUND(I245/Z245,0))</f>
        <v/>
      </c>
      <c r="AC245" s="7">
        <f>IF(I245="","",FLOOR(I245*IF(T245&lt;&gt;"",T245,IF(E245="농지",3,4))/100,10))</f>
        <v/>
      </c>
      <c r="AD245" s="7">
        <f>IF(I245="","",FLOOR(I245*IF(T245&lt;&gt;"",N(U245),0.2)/100,10))</f>
        <v/>
      </c>
      <c r="AE245" s="7">
        <f>IF(I245="","",FLOOR(I245*IF(T245&lt;&gt;"",N(V245),(IF(E245="농지",3,4)-2)*0.2)/100,10))</f>
        <v/>
      </c>
      <c r="AF245" s="7">
        <f>IF(N245="","",ROUND(N245*N(O245)/100*N(P245)/12,0))</f>
        <v/>
      </c>
      <c r="AG245" s="7">
        <f>IF(I245="","",I245+AC245+AD245+AE245+N(K245)+N(L245)+N(M245)+N(Q245)+N(AF245))</f>
        <v/>
      </c>
      <c r="AH245" s="7">
        <f>IF(OR(R245="",S245=""),"",ROUND(R245*S245/100,0))</f>
        <v/>
      </c>
      <c r="AI245" s="7">
        <f>IF(OR(AG245="",R245=""),"",R245-N(AH245)-AG245)</f>
        <v/>
      </c>
      <c r="AJ245" s="6">
        <f>IF(AI245="","",ROUND(AI245/AG245*100,1))</f>
        <v/>
      </c>
    </row>
    <row r="246">
      <c r="A246" s="3" t="n"/>
      <c r="B246" s="3" t="n"/>
      <c r="C246" s="4" t="n"/>
      <c r="D246" s="3" t="n"/>
      <c r="E246" s="3" t="n"/>
      <c r="F246" s="3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3" t="n"/>
      <c r="P246" s="3" t="n"/>
      <c r="Q246" s="5" t="n"/>
      <c r="R246" s="5" t="n"/>
      <c r="S246" s="3" t="n"/>
      <c r="T246" s="3" t="n"/>
      <c r="U246" s="3" t="n"/>
      <c r="V246" s="3" t="n"/>
      <c r="W246" s="3" t="n"/>
      <c r="X246" s="3" t="n"/>
      <c r="Y246" s="3" t="n"/>
      <c r="Z246" s="6">
        <f>IF(F246="","",ROUND(F246/3.305785,1))</f>
        <v/>
      </c>
      <c r="AA246" s="6">
        <f>IF(OR(G246="",I246=""),"",ROUND(I246/G246*100,1))</f>
        <v/>
      </c>
      <c r="AB246" s="7">
        <f>IF(OR(Z246="",I246=""),"",ROUND(I246/Z246,0))</f>
        <v/>
      </c>
      <c r="AC246" s="7">
        <f>IF(I246="","",FLOOR(I246*IF(T246&lt;&gt;"",T246,IF(E246="농지",3,4))/100,10))</f>
        <v/>
      </c>
      <c r="AD246" s="7">
        <f>IF(I246="","",FLOOR(I246*IF(T246&lt;&gt;"",N(U246),0.2)/100,10))</f>
        <v/>
      </c>
      <c r="AE246" s="7">
        <f>IF(I246="","",FLOOR(I246*IF(T246&lt;&gt;"",N(V246),(IF(E246="농지",3,4)-2)*0.2)/100,10))</f>
        <v/>
      </c>
      <c r="AF246" s="7">
        <f>IF(N246="","",ROUND(N246*N(O246)/100*N(P246)/12,0))</f>
        <v/>
      </c>
      <c r="AG246" s="7">
        <f>IF(I246="","",I246+AC246+AD246+AE246+N(K246)+N(L246)+N(M246)+N(Q246)+N(AF246))</f>
        <v/>
      </c>
      <c r="AH246" s="7">
        <f>IF(OR(R246="",S246=""),"",ROUND(R246*S246/100,0))</f>
        <v/>
      </c>
      <c r="AI246" s="7">
        <f>IF(OR(AG246="",R246=""),"",R246-N(AH246)-AG246)</f>
        <v/>
      </c>
      <c r="AJ246" s="6">
        <f>IF(AI246="","",ROUND(AI246/AG246*100,1))</f>
        <v/>
      </c>
    </row>
    <row r="247">
      <c r="A247" s="3" t="n"/>
      <c r="B247" s="3" t="n"/>
      <c r="C247" s="4" t="n"/>
      <c r="D247" s="3" t="n"/>
      <c r="E247" s="3" t="n"/>
      <c r="F247" s="3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3" t="n"/>
      <c r="P247" s="3" t="n"/>
      <c r="Q247" s="5" t="n"/>
      <c r="R247" s="5" t="n"/>
      <c r="S247" s="3" t="n"/>
      <c r="T247" s="3" t="n"/>
      <c r="U247" s="3" t="n"/>
      <c r="V247" s="3" t="n"/>
      <c r="W247" s="3" t="n"/>
      <c r="X247" s="3" t="n"/>
      <c r="Y247" s="3" t="n"/>
      <c r="Z247" s="6">
        <f>IF(F247="","",ROUND(F247/3.305785,1))</f>
        <v/>
      </c>
      <c r="AA247" s="6">
        <f>IF(OR(G247="",I247=""),"",ROUND(I247/G247*100,1))</f>
        <v/>
      </c>
      <c r="AB247" s="7">
        <f>IF(OR(Z247="",I247=""),"",ROUND(I247/Z247,0))</f>
        <v/>
      </c>
      <c r="AC247" s="7">
        <f>IF(I247="","",FLOOR(I247*IF(T247&lt;&gt;"",T247,IF(E247="농지",3,4))/100,10))</f>
        <v/>
      </c>
      <c r="AD247" s="7">
        <f>IF(I247="","",FLOOR(I247*IF(T247&lt;&gt;"",N(U247),0.2)/100,10))</f>
        <v/>
      </c>
      <c r="AE247" s="7">
        <f>IF(I247="","",FLOOR(I247*IF(T247&lt;&gt;"",N(V247),(IF(E247="농지",3,4)-2)*0.2)/100,10))</f>
        <v/>
      </c>
      <c r="AF247" s="7">
        <f>IF(N247="","",ROUND(N247*N(O247)/100*N(P247)/12,0))</f>
        <v/>
      </c>
      <c r="AG247" s="7">
        <f>IF(I247="","",I247+AC247+AD247+AE247+N(K247)+N(L247)+N(M247)+N(Q247)+N(AF247))</f>
        <v/>
      </c>
      <c r="AH247" s="7">
        <f>IF(OR(R247="",S247=""),"",ROUND(R247*S247/100,0))</f>
        <v/>
      </c>
      <c r="AI247" s="7">
        <f>IF(OR(AG247="",R247=""),"",R247-N(AH247)-AG247)</f>
        <v/>
      </c>
      <c r="AJ247" s="6">
        <f>IF(AI247="","",ROUND(AI247/AG247*100,1))</f>
        <v/>
      </c>
    </row>
    <row r="248">
      <c r="A248" s="3" t="n"/>
      <c r="B248" s="3" t="n"/>
      <c r="C248" s="4" t="n"/>
      <c r="D248" s="3" t="n"/>
      <c r="E248" s="3" t="n"/>
      <c r="F248" s="3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3" t="n"/>
      <c r="P248" s="3" t="n"/>
      <c r="Q248" s="5" t="n"/>
      <c r="R248" s="5" t="n"/>
      <c r="S248" s="3" t="n"/>
      <c r="T248" s="3" t="n"/>
      <c r="U248" s="3" t="n"/>
      <c r="V248" s="3" t="n"/>
      <c r="W248" s="3" t="n"/>
      <c r="X248" s="3" t="n"/>
      <c r="Y248" s="3" t="n"/>
      <c r="Z248" s="6">
        <f>IF(F248="","",ROUND(F248/3.305785,1))</f>
        <v/>
      </c>
      <c r="AA248" s="6">
        <f>IF(OR(G248="",I248=""),"",ROUND(I248/G248*100,1))</f>
        <v/>
      </c>
      <c r="AB248" s="7">
        <f>IF(OR(Z248="",I248=""),"",ROUND(I248/Z248,0))</f>
        <v/>
      </c>
      <c r="AC248" s="7">
        <f>IF(I248="","",FLOOR(I248*IF(T248&lt;&gt;"",T248,IF(E248="농지",3,4))/100,10))</f>
        <v/>
      </c>
      <c r="AD248" s="7">
        <f>IF(I248="","",FLOOR(I248*IF(T248&lt;&gt;"",N(U248),0.2)/100,10))</f>
        <v/>
      </c>
      <c r="AE248" s="7">
        <f>IF(I248="","",FLOOR(I248*IF(T248&lt;&gt;"",N(V248),(IF(E248="농지",3,4)-2)*0.2)/100,10))</f>
        <v/>
      </c>
      <c r="AF248" s="7">
        <f>IF(N248="","",ROUND(N248*N(O248)/100*N(P248)/12,0))</f>
        <v/>
      </c>
      <c r="AG248" s="7">
        <f>IF(I248="","",I248+AC248+AD248+AE248+N(K248)+N(L248)+N(M248)+N(Q248)+N(AF248))</f>
        <v/>
      </c>
      <c r="AH248" s="7">
        <f>IF(OR(R248="",S248=""),"",ROUND(R248*S248/100,0))</f>
        <v/>
      </c>
      <c r="AI248" s="7">
        <f>IF(OR(AG248="",R248=""),"",R248-N(AH248)-AG248)</f>
        <v/>
      </c>
      <c r="AJ248" s="6">
        <f>IF(AI248="","",ROUND(AI248/AG248*100,1))</f>
        <v/>
      </c>
    </row>
    <row r="249">
      <c r="A249" s="3" t="n"/>
      <c r="B249" s="3" t="n"/>
      <c r="C249" s="4" t="n"/>
      <c r="D249" s="3" t="n"/>
      <c r="E249" s="3" t="n"/>
      <c r="F249" s="3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3" t="n"/>
      <c r="P249" s="3" t="n"/>
      <c r="Q249" s="5" t="n"/>
      <c r="R249" s="5" t="n"/>
      <c r="S249" s="3" t="n"/>
      <c r="T249" s="3" t="n"/>
      <c r="U249" s="3" t="n"/>
      <c r="V249" s="3" t="n"/>
      <c r="W249" s="3" t="n"/>
      <c r="X249" s="3" t="n"/>
      <c r="Y249" s="3" t="n"/>
      <c r="Z249" s="6">
        <f>IF(F249="","",ROUND(F249/3.305785,1))</f>
        <v/>
      </c>
      <c r="AA249" s="6">
        <f>IF(OR(G249="",I249=""),"",ROUND(I249/G249*100,1))</f>
        <v/>
      </c>
      <c r="AB249" s="7">
        <f>IF(OR(Z249="",I249=""),"",ROUND(I249/Z249,0))</f>
        <v/>
      </c>
      <c r="AC249" s="7">
        <f>IF(I249="","",FLOOR(I249*IF(T249&lt;&gt;"",T249,IF(E249="농지",3,4))/100,10))</f>
        <v/>
      </c>
      <c r="AD249" s="7">
        <f>IF(I249="","",FLOOR(I249*IF(T249&lt;&gt;"",N(U249),0.2)/100,10))</f>
        <v/>
      </c>
      <c r="AE249" s="7">
        <f>IF(I249="","",FLOOR(I249*IF(T249&lt;&gt;"",N(V249),(IF(E249="농지",3,4)-2)*0.2)/100,10))</f>
        <v/>
      </c>
      <c r="AF249" s="7">
        <f>IF(N249="","",ROUND(N249*N(O249)/100*N(P249)/12,0))</f>
        <v/>
      </c>
      <c r="AG249" s="7">
        <f>IF(I249="","",I249+AC249+AD249+AE249+N(K249)+N(L249)+N(M249)+N(Q249)+N(AF249))</f>
        <v/>
      </c>
      <c r="AH249" s="7">
        <f>IF(OR(R249="",S249=""),"",ROUND(R249*S249/100,0))</f>
        <v/>
      </c>
      <c r="AI249" s="7">
        <f>IF(OR(AG249="",R249=""),"",R249-N(AH249)-AG249)</f>
        <v/>
      </c>
      <c r="AJ249" s="6">
        <f>IF(AI249="","",ROUND(AI249/AG249*100,1))</f>
        <v/>
      </c>
    </row>
    <row r="250">
      <c r="A250" s="3" t="n"/>
      <c r="B250" s="3" t="n"/>
      <c r="C250" s="4" t="n"/>
      <c r="D250" s="3" t="n"/>
      <c r="E250" s="3" t="n"/>
      <c r="F250" s="3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3" t="n"/>
      <c r="P250" s="3" t="n"/>
      <c r="Q250" s="5" t="n"/>
      <c r="R250" s="5" t="n"/>
      <c r="S250" s="3" t="n"/>
      <c r="T250" s="3" t="n"/>
      <c r="U250" s="3" t="n"/>
      <c r="V250" s="3" t="n"/>
      <c r="W250" s="3" t="n"/>
      <c r="X250" s="3" t="n"/>
      <c r="Y250" s="3" t="n"/>
      <c r="Z250" s="6">
        <f>IF(F250="","",ROUND(F250/3.305785,1))</f>
        <v/>
      </c>
      <c r="AA250" s="6">
        <f>IF(OR(G250="",I250=""),"",ROUND(I250/G250*100,1))</f>
        <v/>
      </c>
      <c r="AB250" s="7">
        <f>IF(OR(Z250="",I250=""),"",ROUND(I250/Z250,0))</f>
        <v/>
      </c>
      <c r="AC250" s="7">
        <f>IF(I250="","",FLOOR(I250*IF(T250&lt;&gt;"",T250,IF(E250="농지",3,4))/100,10))</f>
        <v/>
      </c>
      <c r="AD250" s="7">
        <f>IF(I250="","",FLOOR(I250*IF(T250&lt;&gt;"",N(U250),0.2)/100,10))</f>
        <v/>
      </c>
      <c r="AE250" s="7">
        <f>IF(I250="","",FLOOR(I250*IF(T250&lt;&gt;"",N(V250),(IF(E250="농지",3,4)-2)*0.2)/100,10))</f>
        <v/>
      </c>
      <c r="AF250" s="7">
        <f>IF(N250="","",ROUND(N250*N(O250)/100*N(P250)/12,0))</f>
        <v/>
      </c>
      <c r="AG250" s="7">
        <f>IF(I250="","",I250+AC250+AD250+AE250+N(K250)+N(L250)+N(M250)+N(Q250)+N(AF250))</f>
        <v/>
      </c>
      <c r="AH250" s="7">
        <f>IF(OR(R250="",S250=""),"",ROUND(R250*S250/100,0))</f>
        <v/>
      </c>
      <c r="AI250" s="7">
        <f>IF(OR(AG250="",R250=""),"",R250-N(AH250)-AG250)</f>
        <v/>
      </c>
      <c r="AJ250" s="6">
        <f>IF(AI250="","",ROUND(AI250/AG250*100,1))</f>
        <v/>
      </c>
    </row>
    <row r="251">
      <c r="A251" s="3" t="n"/>
      <c r="B251" s="3" t="n"/>
      <c r="C251" s="4" t="n"/>
      <c r="D251" s="3" t="n"/>
      <c r="E251" s="3" t="n"/>
      <c r="F251" s="3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3" t="n"/>
      <c r="P251" s="3" t="n"/>
      <c r="Q251" s="5" t="n"/>
      <c r="R251" s="5" t="n"/>
      <c r="S251" s="3" t="n"/>
      <c r="T251" s="3" t="n"/>
      <c r="U251" s="3" t="n"/>
      <c r="V251" s="3" t="n"/>
      <c r="W251" s="3" t="n"/>
      <c r="X251" s="3" t="n"/>
      <c r="Y251" s="3" t="n"/>
      <c r="Z251" s="6">
        <f>IF(F251="","",ROUND(F251/3.305785,1))</f>
        <v/>
      </c>
      <c r="AA251" s="6">
        <f>IF(OR(G251="",I251=""),"",ROUND(I251/G251*100,1))</f>
        <v/>
      </c>
      <c r="AB251" s="7">
        <f>IF(OR(Z251="",I251=""),"",ROUND(I251/Z251,0))</f>
        <v/>
      </c>
      <c r="AC251" s="7">
        <f>IF(I251="","",FLOOR(I251*IF(T251&lt;&gt;"",T251,IF(E251="농지",3,4))/100,10))</f>
        <v/>
      </c>
      <c r="AD251" s="7">
        <f>IF(I251="","",FLOOR(I251*IF(T251&lt;&gt;"",N(U251),0.2)/100,10))</f>
        <v/>
      </c>
      <c r="AE251" s="7">
        <f>IF(I251="","",FLOOR(I251*IF(T251&lt;&gt;"",N(V251),(IF(E251="농지",3,4)-2)*0.2)/100,10))</f>
        <v/>
      </c>
      <c r="AF251" s="7">
        <f>IF(N251="","",ROUND(N251*N(O251)/100*N(P251)/12,0))</f>
        <v/>
      </c>
      <c r="AG251" s="7">
        <f>IF(I251="","",I251+AC251+AD251+AE251+N(K251)+N(L251)+N(M251)+N(Q251)+N(AF251))</f>
        <v/>
      </c>
      <c r="AH251" s="7">
        <f>IF(OR(R251="",S251=""),"",ROUND(R251*S251/100,0))</f>
        <v/>
      </c>
      <c r="AI251" s="7">
        <f>IF(OR(AG251="",R251=""),"",R251-N(AH251)-AG251)</f>
        <v/>
      </c>
      <c r="AJ251" s="6">
        <f>IF(AI251="","",ROUND(AI251/AG251*100,1))</f>
        <v/>
      </c>
    </row>
    <row r="252">
      <c r="A252" s="3" t="n"/>
      <c r="B252" s="3" t="n"/>
      <c r="C252" s="4" t="n"/>
      <c r="D252" s="3" t="n"/>
      <c r="E252" s="3" t="n"/>
      <c r="F252" s="3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3" t="n"/>
      <c r="P252" s="3" t="n"/>
      <c r="Q252" s="5" t="n"/>
      <c r="R252" s="5" t="n"/>
      <c r="S252" s="3" t="n"/>
      <c r="T252" s="3" t="n"/>
      <c r="U252" s="3" t="n"/>
      <c r="V252" s="3" t="n"/>
      <c r="W252" s="3" t="n"/>
      <c r="X252" s="3" t="n"/>
      <c r="Y252" s="3" t="n"/>
      <c r="Z252" s="6">
        <f>IF(F252="","",ROUND(F252/3.305785,1))</f>
        <v/>
      </c>
      <c r="AA252" s="6">
        <f>IF(OR(G252="",I252=""),"",ROUND(I252/G252*100,1))</f>
        <v/>
      </c>
      <c r="AB252" s="7">
        <f>IF(OR(Z252="",I252=""),"",ROUND(I252/Z252,0))</f>
        <v/>
      </c>
      <c r="AC252" s="7">
        <f>IF(I252="","",FLOOR(I252*IF(T252&lt;&gt;"",T252,IF(E252="농지",3,4))/100,10))</f>
        <v/>
      </c>
      <c r="AD252" s="7">
        <f>IF(I252="","",FLOOR(I252*IF(T252&lt;&gt;"",N(U252),0.2)/100,10))</f>
        <v/>
      </c>
      <c r="AE252" s="7">
        <f>IF(I252="","",FLOOR(I252*IF(T252&lt;&gt;"",N(V252),(IF(E252="농지",3,4)-2)*0.2)/100,10))</f>
        <v/>
      </c>
      <c r="AF252" s="7">
        <f>IF(N252="","",ROUND(N252*N(O252)/100*N(P252)/12,0))</f>
        <v/>
      </c>
      <c r="AG252" s="7">
        <f>IF(I252="","",I252+AC252+AD252+AE252+N(K252)+N(L252)+N(M252)+N(Q252)+N(AF252))</f>
        <v/>
      </c>
      <c r="AH252" s="7">
        <f>IF(OR(R252="",S252=""),"",ROUND(R252*S252/100,0))</f>
        <v/>
      </c>
      <c r="AI252" s="7">
        <f>IF(OR(AG252="",R252=""),"",R252-N(AH252)-AG252)</f>
        <v/>
      </c>
      <c r="AJ252" s="6">
        <f>IF(AI252="","",ROUND(AI252/AG252*100,1))</f>
        <v/>
      </c>
    </row>
    <row r="253">
      <c r="A253" s="3" t="n"/>
      <c r="B253" s="3" t="n"/>
      <c r="C253" s="4" t="n"/>
      <c r="D253" s="3" t="n"/>
      <c r="E253" s="3" t="n"/>
      <c r="F253" s="3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3" t="n"/>
      <c r="P253" s="3" t="n"/>
      <c r="Q253" s="5" t="n"/>
      <c r="R253" s="5" t="n"/>
      <c r="S253" s="3" t="n"/>
      <c r="T253" s="3" t="n"/>
      <c r="U253" s="3" t="n"/>
      <c r="V253" s="3" t="n"/>
      <c r="W253" s="3" t="n"/>
      <c r="X253" s="3" t="n"/>
      <c r="Y253" s="3" t="n"/>
      <c r="Z253" s="6">
        <f>IF(F253="","",ROUND(F253/3.305785,1))</f>
        <v/>
      </c>
      <c r="AA253" s="6">
        <f>IF(OR(G253="",I253=""),"",ROUND(I253/G253*100,1))</f>
        <v/>
      </c>
      <c r="AB253" s="7">
        <f>IF(OR(Z253="",I253=""),"",ROUND(I253/Z253,0))</f>
        <v/>
      </c>
      <c r="AC253" s="7">
        <f>IF(I253="","",FLOOR(I253*IF(T253&lt;&gt;"",T253,IF(E253="농지",3,4))/100,10))</f>
        <v/>
      </c>
      <c r="AD253" s="7">
        <f>IF(I253="","",FLOOR(I253*IF(T253&lt;&gt;"",N(U253),0.2)/100,10))</f>
        <v/>
      </c>
      <c r="AE253" s="7">
        <f>IF(I253="","",FLOOR(I253*IF(T253&lt;&gt;"",N(V253),(IF(E253="농지",3,4)-2)*0.2)/100,10))</f>
        <v/>
      </c>
      <c r="AF253" s="7">
        <f>IF(N253="","",ROUND(N253*N(O253)/100*N(P253)/12,0))</f>
        <v/>
      </c>
      <c r="AG253" s="7">
        <f>IF(I253="","",I253+AC253+AD253+AE253+N(K253)+N(L253)+N(M253)+N(Q253)+N(AF253))</f>
        <v/>
      </c>
      <c r="AH253" s="7">
        <f>IF(OR(R253="",S253=""),"",ROUND(R253*S253/100,0))</f>
        <v/>
      </c>
      <c r="AI253" s="7">
        <f>IF(OR(AG253="",R253=""),"",R253-N(AH253)-AG253)</f>
        <v/>
      </c>
      <c r="AJ253" s="6">
        <f>IF(AI253="","",ROUND(AI253/AG253*100,1))</f>
        <v/>
      </c>
    </row>
    <row r="254">
      <c r="A254" s="3" t="n"/>
      <c r="B254" s="3" t="n"/>
      <c r="C254" s="4" t="n"/>
      <c r="D254" s="3" t="n"/>
      <c r="E254" s="3" t="n"/>
      <c r="F254" s="3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3" t="n"/>
      <c r="P254" s="3" t="n"/>
      <c r="Q254" s="5" t="n"/>
      <c r="R254" s="5" t="n"/>
      <c r="S254" s="3" t="n"/>
      <c r="T254" s="3" t="n"/>
      <c r="U254" s="3" t="n"/>
      <c r="V254" s="3" t="n"/>
      <c r="W254" s="3" t="n"/>
      <c r="X254" s="3" t="n"/>
      <c r="Y254" s="3" t="n"/>
      <c r="Z254" s="6">
        <f>IF(F254="","",ROUND(F254/3.305785,1))</f>
        <v/>
      </c>
      <c r="AA254" s="6">
        <f>IF(OR(G254="",I254=""),"",ROUND(I254/G254*100,1))</f>
        <v/>
      </c>
      <c r="AB254" s="7">
        <f>IF(OR(Z254="",I254=""),"",ROUND(I254/Z254,0))</f>
        <v/>
      </c>
      <c r="AC254" s="7">
        <f>IF(I254="","",FLOOR(I254*IF(T254&lt;&gt;"",T254,IF(E254="농지",3,4))/100,10))</f>
        <v/>
      </c>
      <c r="AD254" s="7">
        <f>IF(I254="","",FLOOR(I254*IF(T254&lt;&gt;"",N(U254),0.2)/100,10))</f>
        <v/>
      </c>
      <c r="AE254" s="7">
        <f>IF(I254="","",FLOOR(I254*IF(T254&lt;&gt;"",N(V254),(IF(E254="농지",3,4)-2)*0.2)/100,10))</f>
        <v/>
      </c>
      <c r="AF254" s="7">
        <f>IF(N254="","",ROUND(N254*N(O254)/100*N(P254)/12,0))</f>
        <v/>
      </c>
      <c r="AG254" s="7">
        <f>IF(I254="","",I254+AC254+AD254+AE254+N(K254)+N(L254)+N(M254)+N(Q254)+N(AF254))</f>
        <v/>
      </c>
      <c r="AH254" s="7">
        <f>IF(OR(R254="",S254=""),"",ROUND(R254*S254/100,0))</f>
        <v/>
      </c>
      <c r="AI254" s="7">
        <f>IF(OR(AG254="",R254=""),"",R254-N(AH254)-AG254)</f>
        <v/>
      </c>
      <c r="AJ254" s="6">
        <f>IF(AI254="","",ROUND(AI254/AG254*100,1))</f>
        <v/>
      </c>
    </row>
    <row r="255">
      <c r="A255" s="3" t="n"/>
      <c r="B255" s="3" t="n"/>
      <c r="C255" s="4" t="n"/>
      <c r="D255" s="3" t="n"/>
      <c r="E255" s="3" t="n"/>
      <c r="F255" s="3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3" t="n"/>
      <c r="P255" s="3" t="n"/>
      <c r="Q255" s="5" t="n"/>
      <c r="R255" s="5" t="n"/>
      <c r="S255" s="3" t="n"/>
      <c r="T255" s="3" t="n"/>
      <c r="U255" s="3" t="n"/>
      <c r="V255" s="3" t="n"/>
      <c r="W255" s="3" t="n"/>
      <c r="X255" s="3" t="n"/>
      <c r="Y255" s="3" t="n"/>
      <c r="Z255" s="6">
        <f>IF(F255="","",ROUND(F255/3.305785,1))</f>
        <v/>
      </c>
      <c r="AA255" s="6">
        <f>IF(OR(G255="",I255=""),"",ROUND(I255/G255*100,1))</f>
        <v/>
      </c>
      <c r="AB255" s="7">
        <f>IF(OR(Z255="",I255=""),"",ROUND(I255/Z255,0))</f>
        <v/>
      </c>
      <c r="AC255" s="7">
        <f>IF(I255="","",FLOOR(I255*IF(T255&lt;&gt;"",T255,IF(E255="농지",3,4))/100,10))</f>
        <v/>
      </c>
      <c r="AD255" s="7">
        <f>IF(I255="","",FLOOR(I255*IF(T255&lt;&gt;"",N(U255),0.2)/100,10))</f>
        <v/>
      </c>
      <c r="AE255" s="7">
        <f>IF(I255="","",FLOOR(I255*IF(T255&lt;&gt;"",N(V255),(IF(E255="농지",3,4)-2)*0.2)/100,10))</f>
        <v/>
      </c>
      <c r="AF255" s="7">
        <f>IF(N255="","",ROUND(N255*N(O255)/100*N(P255)/12,0))</f>
        <v/>
      </c>
      <c r="AG255" s="7">
        <f>IF(I255="","",I255+AC255+AD255+AE255+N(K255)+N(L255)+N(M255)+N(Q255)+N(AF255))</f>
        <v/>
      </c>
      <c r="AH255" s="7">
        <f>IF(OR(R255="",S255=""),"",ROUND(R255*S255/100,0))</f>
        <v/>
      </c>
      <c r="AI255" s="7">
        <f>IF(OR(AG255="",R255=""),"",R255-N(AH255)-AG255)</f>
        <v/>
      </c>
      <c r="AJ255" s="6">
        <f>IF(AI255="","",ROUND(AI255/AG255*100,1))</f>
        <v/>
      </c>
    </row>
    <row r="256">
      <c r="A256" s="3" t="n"/>
      <c r="B256" s="3" t="n"/>
      <c r="C256" s="4" t="n"/>
      <c r="D256" s="3" t="n"/>
      <c r="E256" s="3" t="n"/>
      <c r="F256" s="3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3" t="n"/>
      <c r="P256" s="3" t="n"/>
      <c r="Q256" s="5" t="n"/>
      <c r="R256" s="5" t="n"/>
      <c r="S256" s="3" t="n"/>
      <c r="T256" s="3" t="n"/>
      <c r="U256" s="3" t="n"/>
      <c r="V256" s="3" t="n"/>
      <c r="W256" s="3" t="n"/>
      <c r="X256" s="3" t="n"/>
      <c r="Y256" s="3" t="n"/>
      <c r="Z256" s="6">
        <f>IF(F256="","",ROUND(F256/3.305785,1))</f>
        <v/>
      </c>
      <c r="AA256" s="6">
        <f>IF(OR(G256="",I256=""),"",ROUND(I256/G256*100,1))</f>
        <v/>
      </c>
      <c r="AB256" s="7">
        <f>IF(OR(Z256="",I256=""),"",ROUND(I256/Z256,0))</f>
        <v/>
      </c>
      <c r="AC256" s="7">
        <f>IF(I256="","",FLOOR(I256*IF(T256&lt;&gt;"",T256,IF(E256="농지",3,4))/100,10))</f>
        <v/>
      </c>
      <c r="AD256" s="7">
        <f>IF(I256="","",FLOOR(I256*IF(T256&lt;&gt;"",N(U256),0.2)/100,10))</f>
        <v/>
      </c>
      <c r="AE256" s="7">
        <f>IF(I256="","",FLOOR(I256*IF(T256&lt;&gt;"",N(V256),(IF(E256="농지",3,4)-2)*0.2)/100,10))</f>
        <v/>
      </c>
      <c r="AF256" s="7">
        <f>IF(N256="","",ROUND(N256*N(O256)/100*N(P256)/12,0))</f>
        <v/>
      </c>
      <c r="AG256" s="7">
        <f>IF(I256="","",I256+AC256+AD256+AE256+N(K256)+N(L256)+N(M256)+N(Q256)+N(AF256))</f>
        <v/>
      </c>
      <c r="AH256" s="7">
        <f>IF(OR(R256="",S256=""),"",ROUND(R256*S256/100,0))</f>
        <v/>
      </c>
      <c r="AI256" s="7">
        <f>IF(OR(AG256="",R256=""),"",R256-N(AH256)-AG256)</f>
        <v/>
      </c>
      <c r="AJ256" s="6">
        <f>IF(AI256="","",ROUND(AI256/AG256*100,1))</f>
        <v/>
      </c>
    </row>
    <row r="257">
      <c r="A257" s="3" t="n"/>
      <c r="B257" s="3" t="n"/>
      <c r="C257" s="4" t="n"/>
      <c r="D257" s="3" t="n"/>
      <c r="E257" s="3" t="n"/>
      <c r="F257" s="3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3" t="n"/>
      <c r="P257" s="3" t="n"/>
      <c r="Q257" s="5" t="n"/>
      <c r="R257" s="5" t="n"/>
      <c r="S257" s="3" t="n"/>
      <c r="T257" s="3" t="n"/>
      <c r="U257" s="3" t="n"/>
      <c r="V257" s="3" t="n"/>
      <c r="W257" s="3" t="n"/>
      <c r="X257" s="3" t="n"/>
      <c r="Y257" s="3" t="n"/>
      <c r="Z257" s="6">
        <f>IF(F257="","",ROUND(F257/3.305785,1))</f>
        <v/>
      </c>
      <c r="AA257" s="6">
        <f>IF(OR(G257="",I257=""),"",ROUND(I257/G257*100,1))</f>
        <v/>
      </c>
      <c r="AB257" s="7">
        <f>IF(OR(Z257="",I257=""),"",ROUND(I257/Z257,0))</f>
        <v/>
      </c>
      <c r="AC257" s="7">
        <f>IF(I257="","",FLOOR(I257*IF(T257&lt;&gt;"",T257,IF(E257="농지",3,4))/100,10))</f>
        <v/>
      </c>
      <c r="AD257" s="7">
        <f>IF(I257="","",FLOOR(I257*IF(T257&lt;&gt;"",N(U257),0.2)/100,10))</f>
        <v/>
      </c>
      <c r="AE257" s="7">
        <f>IF(I257="","",FLOOR(I257*IF(T257&lt;&gt;"",N(V257),(IF(E257="농지",3,4)-2)*0.2)/100,10))</f>
        <v/>
      </c>
      <c r="AF257" s="7">
        <f>IF(N257="","",ROUND(N257*N(O257)/100*N(P257)/12,0))</f>
        <v/>
      </c>
      <c r="AG257" s="7">
        <f>IF(I257="","",I257+AC257+AD257+AE257+N(K257)+N(L257)+N(M257)+N(Q257)+N(AF257))</f>
        <v/>
      </c>
      <c r="AH257" s="7">
        <f>IF(OR(R257="",S257=""),"",ROUND(R257*S257/100,0))</f>
        <v/>
      </c>
      <c r="AI257" s="7">
        <f>IF(OR(AG257="",R257=""),"",R257-N(AH257)-AG257)</f>
        <v/>
      </c>
      <c r="AJ257" s="6">
        <f>IF(AI257="","",ROUND(AI257/AG257*100,1))</f>
        <v/>
      </c>
    </row>
    <row r="258">
      <c r="A258" s="3" t="n"/>
      <c r="B258" s="3" t="n"/>
      <c r="C258" s="4" t="n"/>
      <c r="D258" s="3" t="n"/>
      <c r="E258" s="3" t="n"/>
      <c r="F258" s="3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3" t="n"/>
      <c r="P258" s="3" t="n"/>
      <c r="Q258" s="5" t="n"/>
      <c r="R258" s="5" t="n"/>
      <c r="S258" s="3" t="n"/>
      <c r="T258" s="3" t="n"/>
      <c r="U258" s="3" t="n"/>
      <c r="V258" s="3" t="n"/>
      <c r="W258" s="3" t="n"/>
      <c r="X258" s="3" t="n"/>
      <c r="Y258" s="3" t="n"/>
      <c r="Z258" s="6">
        <f>IF(F258="","",ROUND(F258/3.305785,1))</f>
        <v/>
      </c>
      <c r="AA258" s="6">
        <f>IF(OR(G258="",I258=""),"",ROUND(I258/G258*100,1))</f>
        <v/>
      </c>
      <c r="AB258" s="7">
        <f>IF(OR(Z258="",I258=""),"",ROUND(I258/Z258,0))</f>
        <v/>
      </c>
      <c r="AC258" s="7">
        <f>IF(I258="","",FLOOR(I258*IF(T258&lt;&gt;"",T258,IF(E258="농지",3,4))/100,10))</f>
        <v/>
      </c>
      <c r="AD258" s="7">
        <f>IF(I258="","",FLOOR(I258*IF(T258&lt;&gt;"",N(U258),0.2)/100,10))</f>
        <v/>
      </c>
      <c r="AE258" s="7">
        <f>IF(I258="","",FLOOR(I258*IF(T258&lt;&gt;"",N(V258),(IF(E258="농지",3,4)-2)*0.2)/100,10))</f>
        <v/>
      </c>
      <c r="AF258" s="7">
        <f>IF(N258="","",ROUND(N258*N(O258)/100*N(P258)/12,0))</f>
        <v/>
      </c>
      <c r="AG258" s="7">
        <f>IF(I258="","",I258+AC258+AD258+AE258+N(K258)+N(L258)+N(M258)+N(Q258)+N(AF258))</f>
        <v/>
      </c>
      <c r="AH258" s="7">
        <f>IF(OR(R258="",S258=""),"",ROUND(R258*S258/100,0))</f>
        <v/>
      </c>
      <c r="AI258" s="7">
        <f>IF(OR(AG258="",R258=""),"",R258-N(AH258)-AG258)</f>
        <v/>
      </c>
      <c r="AJ258" s="6">
        <f>IF(AI258="","",ROUND(AI258/AG258*100,1))</f>
        <v/>
      </c>
    </row>
    <row r="259">
      <c r="A259" s="3" t="n"/>
      <c r="B259" s="3" t="n"/>
      <c r="C259" s="4" t="n"/>
      <c r="D259" s="3" t="n"/>
      <c r="E259" s="3" t="n"/>
      <c r="F259" s="3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3" t="n"/>
      <c r="P259" s="3" t="n"/>
      <c r="Q259" s="5" t="n"/>
      <c r="R259" s="5" t="n"/>
      <c r="S259" s="3" t="n"/>
      <c r="T259" s="3" t="n"/>
      <c r="U259" s="3" t="n"/>
      <c r="V259" s="3" t="n"/>
      <c r="W259" s="3" t="n"/>
      <c r="X259" s="3" t="n"/>
      <c r="Y259" s="3" t="n"/>
      <c r="Z259" s="6">
        <f>IF(F259="","",ROUND(F259/3.305785,1))</f>
        <v/>
      </c>
      <c r="AA259" s="6">
        <f>IF(OR(G259="",I259=""),"",ROUND(I259/G259*100,1))</f>
        <v/>
      </c>
      <c r="AB259" s="7">
        <f>IF(OR(Z259="",I259=""),"",ROUND(I259/Z259,0))</f>
        <v/>
      </c>
      <c r="AC259" s="7">
        <f>IF(I259="","",FLOOR(I259*IF(T259&lt;&gt;"",T259,IF(E259="농지",3,4))/100,10))</f>
        <v/>
      </c>
      <c r="AD259" s="7">
        <f>IF(I259="","",FLOOR(I259*IF(T259&lt;&gt;"",N(U259),0.2)/100,10))</f>
        <v/>
      </c>
      <c r="AE259" s="7">
        <f>IF(I259="","",FLOOR(I259*IF(T259&lt;&gt;"",N(V259),(IF(E259="농지",3,4)-2)*0.2)/100,10))</f>
        <v/>
      </c>
      <c r="AF259" s="7">
        <f>IF(N259="","",ROUND(N259*N(O259)/100*N(P259)/12,0))</f>
        <v/>
      </c>
      <c r="AG259" s="7">
        <f>IF(I259="","",I259+AC259+AD259+AE259+N(K259)+N(L259)+N(M259)+N(Q259)+N(AF259))</f>
        <v/>
      </c>
      <c r="AH259" s="7">
        <f>IF(OR(R259="",S259=""),"",ROUND(R259*S259/100,0))</f>
        <v/>
      </c>
      <c r="AI259" s="7">
        <f>IF(OR(AG259="",R259=""),"",R259-N(AH259)-AG259)</f>
        <v/>
      </c>
      <c r="AJ259" s="6">
        <f>IF(AI259="","",ROUND(AI259/AG259*100,1))</f>
        <v/>
      </c>
    </row>
    <row r="260">
      <c r="A260" s="3" t="n"/>
      <c r="B260" s="3" t="n"/>
      <c r="C260" s="4" t="n"/>
      <c r="D260" s="3" t="n"/>
      <c r="E260" s="3" t="n"/>
      <c r="F260" s="3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3" t="n"/>
      <c r="P260" s="3" t="n"/>
      <c r="Q260" s="5" t="n"/>
      <c r="R260" s="5" t="n"/>
      <c r="S260" s="3" t="n"/>
      <c r="T260" s="3" t="n"/>
      <c r="U260" s="3" t="n"/>
      <c r="V260" s="3" t="n"/>
      <c r="W260" s="3" t="n"/>
      <c r="X260" s="3" t="n"/>
      <c r="Y260" s="3" t="n"/>
      <c r="Z260" s="6">
        <f>IF(F260="","",ROUND(F260/3.305785,1))</f>
        <v/>
      </c>
      <c r="AA260" s="6">
        <f>IF(OR(G260="",I260=""),"",ROUND(I260/G260*100,1))</f>
        <v/>
      </c>
      <c r="AB260" s="7">
        <f>IF(OR(Z260="",I260=""),"",ROUND(I260/Z260,0))</f>
        <v/>
      </c>
      <c r="AC260" s="7">
        <f>IF(I260="","",FLOOR(I260*IF(T260&lt;&gt;"",T260,IF(E260="농지",3,4))/100,10))</f>
        <v/>
      </c>
      <c r="AD260" s="7">
        <f>IF(I260="","",FLOOR(I260*IF(T260&lt;&gt;"",N(U260),0.2)/100,10))</f>
        <v/>
      </c>
      <c r="AE260" s="7">
        <f>IF(I260="","",FLOOR(I260*IF(T260&lt;&gt;"",N(V260),(IF(E260="농지",3,4)-2)*0.2)/100,10))</f>
        <v/>
      </c>
      <c r="AF260" s="7">
        <f>IF(N260="","",ROUND(N260*N(O260)/100*N(P260)/12,0))</f>
        <v/>
      </c>
      <c r="AG260" s="7">
        <f>IF(I260="","",I260+AC260+AD260+AE260+N(K260)+N(L260)+N(M260)+N(Q260)+N(AF260))</f>
        <v/>
      </c>
      <c r="AH260" s="7">
        <f>IF(OR(R260="",S260=""),"",ROUND(R260*S260/100,0))</f>
        <v/>
      </c>
      <c r="AI260" s="7">
        <f>IF(OR(AG260="",R260=""),"",R260-N(AH260)-AG260)</f>
        <v/>
      </c>
      <c r="AJ260" s="6">
        <f>IF(AI260="","",ROUND(AI260/AG260*100,1))</f>
        <v/>
      </c>
    </row>
    <row r="261">
      <c r="A261" s="3" t="n"/>
      <c r="B261" s="3" t="n"/>
      <c r="C261" s="4" t="n"/>
      <c r="D261" s="3" t="n"/>
      <c r="E261" s="3" t="n"/>
      <c r="F261" s="3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3" t="n"/>
      <c r="P261" s="3" t="n"/>
      <c r="Q261" s="5" t="n"/>
      <c r="R261" s="5" t="n"/>
      <c r="S261" s="3" t="n"/>
      <c r="T261" s="3" t="n"/>
      <c r="U261" s="3" t="n"/>
      <c r="V261" s="3" t="n"/>
      <c r="W261" s="3" t="n"/>
      <c r="X261" s="3" t="n"/>
      <c r="Y261" s="3" t="n"/>
      <c r="Z261" s="6">
        <f>IF(F261="","",ROUND(F261/3.305785,1))</f>
        <v/>
      </c>
      <c r="AA261" s="6">
        <f>IF(OR(G261="",I261=""),"",ROUND(I261/G261*100,1))</f>
        <v/>
      </c>
      <c r="AB261" s="7">
        <f>IF(OR(Z261="",I261=""),"",ROUND(I261/Z261,0))</f>
        <v/>
      </c>
      <c r="AC261" s="7">
        <f>IF(I261="","",FLOOR(I261*IF(T261&lt;&gt;"",T261,IF(E261="농지",3,4))/100,10))</f>
        <v/>
      </c>
      <c r="AD261" s="7">
        <f>IF(I261="","",FLOOR(I261*IF(T261&lt;&gt;"",N(U261),0.2)/100,10))</f>
        <v/>
      </c>
      <c r="AE261" s="7">
        <f>IF(I261="","",FLOOR(I261*IF(T261&lt;&gt;"",N(V261),(IF(E261="농지",3,4)-2)*0.2)/100,10))</f>
        <v/>
      </c>
      <c r="AF261" s="7">
        <f>IF(N261="","",ROUND(N261*N(O261)/100*N(P261)/12,0))</f>
        <v/>
      </c>
      <c r="AG261" s="7">
        <f>IF(I261="","",I261+AC261+AD261+AE261+N(K261)+N(L261)+N(M261)+N(Q261)+N(AF261))</f>
        <v/>
      </c>
      <c r="AH261" s="7">
        <f>IF(OR(R261="",S261=""),"",ROUND(R261*S261/100,0))</f>
        <v/>
      </c>
      <c r="AI261" s="7">
        <f>IF(OR(AG261="",R261=""),"",R261-N(AH261)-AG261)</f>
        <v/>
      </c>
      <c r="AJ261" s="6">
        <f>IF(AI261="","",ROUND(AI261/AG261*100,1))</f>
        <v/>
      </c>
    </row>
    <row r="262">
      <c r="A262" s="3" t="n"/>
      <c r="B262" s="3" t="n"/>
      <c r="C262" s="4" t="n"/>
      <c r="D262" s="3" t="n"/>
      <c r="E262" s="3" t="n"/>
      <c r="F262" s="3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3" t="n"/>
      <c r="P262" s="3" t="n"/>
      <c r="Q262" s="5" t="n"/>
      <c r="R262" s="5" t="n"/>
      <c r="S262" s="3" t="n"/>
      <c r="T262" s="3" t="n"/>
      <c r="U262" s="3" t="n"/>
      <c r="V262" s="3" t="n"/>
      <c r="W262" s="3" t="n"/>
      <c r="X262" s="3" t="n"/>
      <c r="Y262" s="3" t="n"/>
      <c r="Z262" s="6">
        <f>IF(F262="","",ROUND(F262/3.305785,1))</f>
        <v/>
      </c>
      <c r="AA262" s="6">
        <f>IF(OR(G262="",I262=""),"",ROUND(I262/G262*100,1))</f>
        <v/>
      </c>
      <c r="AB262" s="7">
        <f>IF(OR(Z262="",I262=""),"",ROUND(I262/Z262,0))</f>
        <v/>
      </c>
      <c r="AC262" s="7">
        <f>IF(I262="","",FLOOR(I262*IF(T262&lt;&gt;"",T262,IF(E262="농지",3,4))/100,10))</f>
        <v/>
      </c>
      <c r="AD262" s="7">
        <f>IF(I262="","",FLOOR(I262*IF(T262&lt;&gt;"",N(U262),0.2)/100,10))</f>
        <v/>
      </c>
      <c r="AE262" s="7">
        <f>IF(I262="","",FLOOR(I262*IF(T262&lt;&gt;"",N(V262),(IF(E262="농지",3,4)-2)*0.2)/100,10))</f>
        <v/>
      </c>
      <c r="AF262" s="7">
        <f>IF(N262="","",ROUND(N262*N(O262)/100*N(P262)/12,0))</f>
        <v/>
      </c>
      <c r="AG262" s="7">
        <f>IF(I262="","",I262+AC262+AD262+AE262+N(K262)+N(L262)+N(M262)+N(Q262)+N(AF262))</f>
        <v/>
      </c>
      <c r="AH262" s="7">
        <f>IF(OR(R262="",S262=""),"",ROUND(R262*S262/100,0))</f>
        <v/>
      </c>
      <c r="AI262" s="7">
        <f>IF(OR(AG262="",R262=""),"",R262-N(AH262)-AG262)</f>
        <v/>
      </c>
      <c r="AJ262" s="6">
        <f>IF(AI262="","",ROUND(AI262/AG262*100,1))</f>
        <v/>
      </c>
    </row>
    <row r="263">
      <c r="A263" s="3" t="n"/>
      <c r="B263" s="3" t="n"/>
      <c r="C263" s="4" t="n"/>
      <c r="D263" s="3" t="n"/>
      <c r="E263" s="3" t="n"/>
      <c r="F263" s="3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3" t="n"/>
      <c r="P263" s="3" t="n"/>
      <c r="Q263" s="5" t="n"/>
      <c r="R263" s="5" t="n"/>
      <c r="S263" s="3" t="n"/>
      <c r="T263" s="3" t="n"/>
      <c r="U263" s="3" t="n"/>
      <c r="V263" s="3" t="n"/>
      <c r="W263" s="3" t="n"/>
      <c r="X263" s="3" t="n"/>
      <c r="Y263" s="3" t="n"/>
      <c r="Z263" s="6">
        <f>IF(F263="","",ROUND(F263/3.305785,1))</f>
        <v/>
      </c>
      <c r="AA263" s="6">
        <f>IF(OR(G263="",I263=""),"",ROUND(I263/G263*100,1))</f>
        <v/>
      </c>
      <c r="AB263" s="7">
        <f>IF(OR(Z263="",I263=""),"",ROUND(I263/Z263,0))</f>
        <v/>
      </c>
      <c r="AC263" s="7">
        <f>IF(I263="","",FLOOR(I263*IF(T263&lt;&gt;"",T263,IF(E263="농지",3,4))/100,10))</f>
        <v/>
      </c>
      <c r="AD263" s="7">
        <f>IF(I263="","",FLOOR(I263*IF(T263&lt;&gt;"",N(U263),0.2)/100,10))</f>
        <v/>
      </c>
      <c r="AE263" s="7">
        <f>IF(I263="","",FLOOR(I263*IF(T263&lt;&gt;"",N(V263),(IF(E263="농지",3,4)-2)*0.2)/100,10))</f>
        <v/>
      </c>
      <c r="AF263" s="7">
        <f>IF(N263="","",ROUND(N263*N(O263)/100*N(P263)/12,0))</f>
        <v/>
      </c>
      <c r="AG263" s="7">
        <f>IF(I263="","",I263+AC263+AD263+AE263+N(K263)+N(L263)+N(M263)+N(Q263)+N(AF263))</f>
        <v/>
      </c>
      <c r="AH263" s="7">
        <f>IF(OR(R263="",S263=""),"",ROUND(R263*S263/100,0))</f>
        <v/>
      </c>
      <c r="AI263" s="7">
        <f>IF(OR(AG263="",R263=""),"",R263-N(AH263)-AG263)</f>
        <v/>
      </c>
      <c r="AJ263" s="6">
        <f>IF(AI263="","",ROUND(AI263/AG263*100,1))</f>
        <v/>
      </c>
    </row>
    <row r="264">
      <c r="A264" s="3" t="n"/>
      <c r="B264" s="3" t="n"/>
      <c r="C264" s="4" t="n"/>
      <c r="D264" s="3" t="n"/>
      <c r="E264" s="3" t="n"/>
      <c r="F264" s="3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3" t="n"/>
      <c r="P264" s="3" t="n"/>
      <c r="Q264" s="5" t="n"/>
      <c r="R264" s="5" t="n"/>
      <c r="S264" s="3" t="n"/>
      <c r="T264" s="3" t="n"/>
      <c r="U264" s="3" t="n"/>
      <c r="V264" s="3" t="n"/>
      <c r="W264" s="3" t="n"/>
      <c r="X264" s="3" t="n"/>
      <c r="Y264" s="3" t="n"/>
      <c r="Z264" s="6">
        <f>IF(F264="","",ROUND(F264/3.305785,1))</f>
        <v/>
      </c>
      <c r="AA264" s="6">
        <f>IF(OR(G264="",I264=""),"",ROUND(I264/G264*100,1))</f>
        <v/>
      </c>
      <c r="AB264" s="7">
        <f>IF(OR(Z264="",I264=""),"",ROUND(I264/Z264,0))</f>
        <v/>
      </c>
      <c r="AC264" s="7">
        <f>IF(I264="","",FLOOR(I264*IF(T264&lt;&gt;"",T264,IF(E264="농지",3,4))/100,10))</f>
        <v/>
      </c>
      <c r="AD264" s="7">
        <f>IF(I264="","",FLOOR(I264*IF(T264&lt;&gt;"",N(U264),0.2)/100,10))</f>
        <v/>
      </c>
      <c r="AE264" s="7">
        <f>IF(I264="","",FLOOR(I264*IF(T264&lt;&gt;"",N(V264),(IF(E264="농지",3,4)-2)*0.2)/100,10))</f>
        <v/>
      </c>
      <c r="AF264" s="7">
        <f>IF(N264="","",ROUND(N264*N(O264)/100*N(P264)/12,0))</f>
        <v/>
      </c>
      <c r="AG264" s="7">
        <f>IF(I264="","",I264+AC264+AD264+AE264+N(K264)+N(L264)+N(M264)+N(Q264)+N(AF264))</f>
        <v/>
      </c>
      <c r="AH264" s="7">
        <f>IF(OR(R264="",S264=""),"",ROUND(R264*S264/100,0))</f>
        <v/>
      </c>
      <c r="AI264" s="7">
        <f>IF(OR(AG264="",R264=""),"",R264-N(AH264)-AG264)</f>
        <v/>
      </c>
      <c r="AJ264" s="6">
        <f>IF(AI264="","",ROUND(AI264/AG264*100,1))</f>
        <v/>
      </c>
    </row>
    <row r="265">
      <c r="A265" s="3" t="n"/>
      <c r="B265" s="3" t="n"/>
      <c r="C265" s="4" t="n"/>
      <c r="D265" s="3" t="n"/>
      <c r="E265" s="3" t="n"/>
      <c r="F265" s="3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3" t="n"/>
      <c r="P265" s="3" t="n"/>
      <c r="Q265" s="5" t="n"/>
      <c r="R265" s="5" t="n"/>
      <c r="S265" s="3" t="n"/>
      <c r="T265" s="3" t="n"/>
      <c r="U265" s="3" t="n"/>
      <c r="V265" s="3" t="n"/>
      <c r="W265" s="3" t="n"/>
      <c r="X265" s="3" t="n"/>
      <c r="Y265" s="3" t="n"/>
      <c r="Z265" s="6">
        <f>IF(F265="","",ROUND(F265/3.305785,1))</f>
        <v/>
      </c>
      <c r="AA265" s="6">
        <f>IF(OR(G265="",I265=""),"",ROUND(I265/G265*100,1))</f>
        <v/>
      </c>
      <c r="AB265" s="7">
        <f>IF(OR(Z265="",I265=""),"",ROUND(I265/Z265,0))</f>
        <v/>
      </c>
      <c r="AC265" s="7">
        <f>IF(I265="","",FLOOR(I265*IF(T265&lt;&gt;"",T265,IF(E265="농지",3,4))/100,10))</f>
        <v/>
      </c>
      <c r="AD265" s="7">
        <f>IF(I265="","",FLOOR(I265*IF(T265&lt;&gt;"",N(U265),0.2)/100,10))</f>
        <v/>
      </c>
      <c r="AE265" s="7">
        <f>IF(I265="","",FLOOR(I265*IF(T265&lt;&gt;"",N(V265),(IF(E265="농지",3,4)-2)*0.2)/100,10))</f>
        <v/>
      </c>
      <c r="AF265" s="7">
        <f>IF(N265="","",ROUND(N265*N(O265)/100*N(P265)/12,0))</f>
        <v/>
      </c>
      <c r="AG265" s="7">
        <f>IF(I265="","",I265+AC265+AD265+AE265+N(K265)+N(L265)+N(M265)+N(Q265)+N(AF265))</f>
        <v/>
      </c>
      <c r="AH265" s="7">
        <f>IF(OR(R265="",S265=""),"",ROUND(R265*S265/100,0))</f>
        <v/>
      </c>
      <c r="AI265" s="7">
        <f>IF(OR(AG265="",R265=""),"",R265-N(AH265)-AG265)</f>
        <v/>
      </c>
      <c r="AJ265" s="6">
        <f>IF(AI265="","",ROUND(AI265/AG265*100,1))</f>
        <v/>
      </c>
    </row>
    <row r="266">
      <c r="A266" s="3" t="n"/>
      <c r="B266" s="3" t="n"/>
      <c r="C266" s="4" t="n"/>
      <c r="D266" s="3" t="n"/>
      <c r="E266" s="3" t="n"/>
      <c r="F266" s="3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3" t="n"/>
      <c r="P266" s="3" t="n"/>
      <c r="Q266" s="5" t="n"/>
      <c r="R266" s="5" t="n"/>
      <c r="S266" s="3" t="n"/>
      <c r="T266" s="3" t="n"/>
      <c r="U266" s="3" t="n"/>
      <c r="V266" s="3" t="n"/>
      <c r="W266" s="3" t="n"/>
      <c r="X266" s="3" t="n"/>
      <c r="Y266" s="3" t="n"/>
      <c r="Z266" s="6">
        <f>IF(F266="","",ROUND(F266/3.305785,1))</f>
        <v/>
      </c>
      <c r="AA266" s="6">
        <f>IF(OR(G266="",I266=""),"",ROUND(I266/G266*100,1))</f>
        <v/>
      </c>
      <c r="AB266" s="7">
        <f>IF(OR(Z266="",I266=""),"",ROUND(I266/Z266,0))</f>
        <v/>
      </c>
      <c r="AC266" s="7">
        <f>IF(I266="","",FLOOR(I266*IF(T266&lt;&gt;"",T266,IF(E266="농지",3,4))/100,10))</f>
        <v/>
      </c>
      <c r="AD266" s="7">
        <f>IF(I266="","",FLOOR(I266*IF(T266&lt;&gt;"",N(U266),0.2)/100,10))</f>
        <v/>
      </c>
      <c r="AE266" s="7">
        <f>IF(I266="","",FLOOR(I266*IF(T266&lt;&gt;"",N(V266),(IF(E266="농지",3,4)-2)*0.2)/100,10))</f>
        <v/>
      </c>
      <c r="AF266" s="7">
        <f>IF(N266="","",ROUND(N266*N(O266)/100*N(P266)/12,0))</f>
        <v/>
      </c>
      <c r="AG266" s="7">
        <f>IF(I266="","",I266+AC266+AD266+AE266+N(K266)+N(L266)+N(M266)+N(Q266)+N(AF266))</f>
        <v/>
      </c>
      <c r="AH266" s="7">
        <f>IF(OR(R266="",S266=""),"",ROUND(R266*S266/100,0))</f>
        <v/>
      </c>
      <c r="AI266" s="7">
        <f>IF(OR(AG266="",R266=""),"",R266-N(AH266)-AG266)</f>
        <v/>
      </c>
      <c r="AJ266" s="6">
        <f>IF(AI266="","",ROUND(AI266/AG266*100,1))</f>
        <v/>
      </c>
    </row>
    <row r="267">
      <c r="A267" s="3" t="n"/>
      <c r="B267" s="3" t="n"/>
      <c r="C267" s="4" t="n"/>
      <c r="D267" s="3" t="n"/>
      <c r="E267" s="3" t="n"/>
      <c r="F267" s="3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3" t="n"/>
      <c r="P267" s="3" t="n"/>
      <c r="Q267" s="5" t="n"/>
      <c r="R267" s="5" t="n"/>
      <c r="S267" s="3" t="n"/>
      <c r="T267" s="3" t="n"/>
      <c r="U267" s="3" t="n"/>
      <c r="V267" s="3" t="n"/>
      <c r="W267" s="3" t="n"/>
      <c r="X267" s="3" t="n"/>
      <c r="Y267" s="3" t="n"/>
      <c r="Z267" s="6">
        <f>IF(F267="","",ROUND(F267/3.305785,1))</f>
        <v/>
      </c>
      <c r="AA267" s="6">
        <f>IF(OR(G267="",I267=""),"",ROUND(I267/G267*100,1))</f>
        <v/>
      </c>
      <c r="AB267" s="7">
        <f>IF(OR(Z267="",I267=""),"",ROUND(I267/Z267,0))</f>
        <v/>
      </c>
      <c r="AC267" s="7">
        <f>IF(I267="","",FLOOR(I267*IF(T267&lt;&gt;"",T267,IF(E267="농지",3,4))/100,10))</f>
        <v/>
      </c>
      <c r="AD267" s="7">
        <f>IF(I267="","",FLOOR(I267*IF(T267&lt;&gt;"",N(U267),0.2)/100,10))</f>
        <v/>
      </c>
      <c r="AE267" s="7">
        <f>IF(I267="","",FLOOR(I267*IF(T267&lt;&gt;"",N(V267),(IF(E267="농지",3,4)-2)*0.2)/100,10))</f>
        <v/>
      </c>
      <c r="AF267" s="7">
        <f>IF(N267="","",ROUND(N267*N(O267)/100*N(P267)/12,0))</f>
        <v/>
      </c>
      <c r="AG267" s="7">
        <f>IF(I267="","",I267+AC267+AD267+AE267+N(K267)+N(L267)+N(M267)+N(Q267)+N(AF267))</f>
        <v/>
      </c>
      <c r="AH267" s="7">
        <f>IF(OR(R267="",S267=""),"",ROUND(R267*S267/100,0))</f>
        <v/>
      </c>
      <c r="AI267" s="7">
        <f>IF(OR(AG267="",R267=""),"",R267-N(AH267)-AG267)</f>
        <v/>
      </c>
      <c r="AJ267" s="6">
        <f>IF(AI267="","",ROUND(AI267/AG267*100,1))</f>
        <v/>
      </c>
    </row>
    <row r="268">
      <c r="A268" s="3" t="n"/>
      <c r="B268" s="3" t="n"/>
      <c r="C268" s="4" t="n"/>
      <c r="D268" s="3" t="n"/>
      <c r="E268" s="3" t="n"/>
      <c r="F268" s="3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3" t="n"/>
      <c r="P268" s="3" t="n"/>
      <c r="Q268" s="5" t="n"/>
      <c r="R268" s="5" t="n"/>
      <c r="S268" s="3" t="n"/>
      <c r="T268" s="3" t="n"/>
      <c r="U268" s="3" t="n"/>
      <c r="V268" s="3" t="n"/>
      <c r="W268" s="3" t="n"/>
      <c r="X268" s="3" t="n"/>
      <c r="Y268" s="3" t="n"/>
      <c r="Z268" s="6">
        <f>IF(F268="","",ROUND(F268/3.305785,1))</f>
        <v/>
      </c>
      <c r="AA268" s="6">
        <f>IF(OR(G268="",I268=""),"",ROUND(I268/G268*100,1))</f>
        <v/>
      </c>
      <c r="AB268" s="7">
        <f>IF(OR(Z268="",I268=""),"",ROUND(I268/Z268,0))</f>
        <v/>
      </c>
      <c r="AC268" s="7">
        <f>IF(I268="","",FLOOR(I268*IF(T268&lt;&gt;"",T268,IF(E268="농지",3,4))/100,10))</f>
        <v/>
      </c>
      <c r="AD268" s="7">
        <f>IF(I268="","",FLOOR(I268*IF(T268&lt;&gt;"",N(U268),0.2)/100,10))</f>
        <v/>
      </c>
      <c r="AE268" s="7">
        <f>IF(I268="","",FLOOR(I268*IF(T268&lt;&gt;"",N(V268),(IF(E268="농지",3,4)-2)*0.2)/100,10))</f>
        <v/>
      </c>
      <c r="AF268" s="7">
        <f>IF(N268="","",ROUND(N268*N(O268)/100*N(P268)/12,0))</f>
        <v/>
      </c>
      <c r="AG268" s="7">
        <f>IF(I268="","",I268+AC268+AD268+AE268+N(K268)+N(L268)+N(M268)+N(Q268)+N(AF268))</f>
        <v/>
      </c>
      <c r="AH268" s="7">
        <f>IF(OR(R268="",S268=""),"",ROUND(R268*S268/100,0))</f>
        <v/>
      </c>
      <c r="AI268" s="7">
        <f>IF(OR(AG268="",R268=""),"",R268-N(AH268)-AG268)</f>
        <v/>
      </c>
      <c r="AJ268" s="6">
        <f>IF(AI268="","",ROUND(AI268/AG268*100,1))</f>
        <v/>
      </c>
    </row>
    <row r="269">
      <c r="A269" s="3" t="n"/>
      <c r="B269" s="3" t="n"/>
      <c r="C269" s="4" t="n"/>
      <c r="D269" s="3" t="n"/>
      <c r="E269" s="3" t="n"/>
      <c r="F269" s="3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3" t="n"/>
      <c r="P269" s="3" t="n"/>
      <c r="Q269" s="5" t="n"/>
      <c r="R269" s="5" t="n"/>
      <c r="S269" s="3" t="n"/>
      <c r="T269" s="3" t="n"/>
      <c r="U269" s="3" t="n"/>
      <c r="V269" s="3" t="n"/>
      <c r="W269" s="3" t="n"/>
      <c r="X269" s="3" t="n"/>
      <c r="Y269" s="3" t="n"/>
      <c r="Z269" s="6">
        <f>IF(F269="","",ROUND(F269/3.305785,1))</f>
        <v/>
      </c>
      <c r="AA269" s="6">
        <f>IF(OR(G269="",I269=""),"",ROUND(I269/G269*100,1))</f>
        <v/>
      </c>
      <c r="AB269" s="7">
        <f>IF(OR(Z269="",I269=""),"",ROUND(I269/Z269,0))</f>
        <v/>
      </c>
      <c r="AC269" s="7">
        <f>IF(I269="","",FLOOR(I269*IF(T269&lt;&gt;"",T269,IF(E269="농지",3,4))/100,10))</f>
        <v/>
      </c>
      <c r="AD269" s="7">
        <f>IF(I269="","",FLOOR(I269*IF(T269&lt;&gt;"",N(U269),0.2)/100,10))</f>
        <v/>
      </c>
      <c r="AE269" s="7">
        <f>IF(I269="","",FLOOR(I269*IF(T269&lt;&gt;"",N(V269),(IF(E269="농지",3,4)-2)*0.2)/100,10))</f>
        <v/>
      </c>
      <c r="AF269" s="7">
        <f>IF(N269="","",ROUND(N269*N(O269)/100*N(P269)/12,0))</f>
        <v/>
      </c>
      <c r="AG269" s="7">
        <f>IF(I269="","",I269+AC269+AD269+AE269+N(K269)+N(L269)+N(M269)+N(Q269)+N(AF269))</f>
        <v/>
      </c>
      <c r="AH269" s="7">
        <f>IF(OR(R269="",S269=""),"",ROUND(R269*S269/100,0))</f>
        <v/>
      </c>
      <c r="AI269" s="7">
        <f>IF(OR(AG269="",R269=""),"",R269-N(AH269)-AG269)</f>
        <v/>
      </c>
      <c r="AJ269" s="6">
        <f>IF(AI269="","",ROUND(AI269/AG269*100,1))</f>
        <v/>
      </c>
    </row>
    <row r="270">
      <c r="A270" s="3" t="n"/>
      <c r="B270" s="3" t="n"/>
      <c r="C270" s="4" t="n"/>
      <c r="D270" s="3" t="n"/>
      <c r="E270" s="3" t="n"/>
      <c r="F270" s="3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3" t="n"/>
      <c r="P270" s="3" t="n"/>
      <c r="Q270" s="5" t="n"/>
      <c r="R270" s="5" t="n"/>
      <c r="S270" s="3" t="n"/>
      <c r="T270" s="3" t="n"/>
      <c r="U270" s="3" t="n"/>
      <c r="V270" s="3" t="n"/>
      <c r="W270" s="3" t="n"/>
      <c r="X270" s="3" t="n"/>
      <c r="Y270" s="3" t="n"/>
      <c r="Z270" s="6">
        <f>IF(F270="","",ROUND(F270/3.305785,1))</f>
        <v/>
      </c>
      <c r="AA270" s="6">
        <f>IF(OR(G270="",I270=""),"",ROUND(I270/G270*100,1))</f>
        <v/>
      </c>
      <c r="AB270" s="7">
        <f>IF(OR(Z270="",I270=""),"",ROUND(I270/Z270,0))</f>
        <v/>
      </c>
      <c r="AC270" s="7">
        <f>IF(I270="","",FLOOR(I270*IF(T270&lt;&gt;"",T270,IF(E270="농지",3,4))/100,10))</f>
        <v/>
      </c>
      <c r="AD270" s="7">
        <f>IF(I270="","",FLOOR(I270*IF(T270&lt;&gt;"",N(U270),0.2)/100,10))</f>
        <v/>
      </c>
      <c r="AE270" s="7">
        <f>IF(I270="","",FLOOR(I270*IF(T270&lt;&gt;"",N(V270),(IF(E270="농지",3,4)-2)*0.2)/100,10))</f>
        <v/>
      </c>
      <c r="AF270" s="7">
        <f>IF(N270="","",ROUND(N270*N(O270)/100*N(P270)/12,0))</f>
        <v/>
      </c>
      <c r="AG270" s="7">
        <f>IF(I270="","",I270+AC270+AD270+AE270+N(K270)+N(L270)+N(M270)+N(Q270)+N(AF270))</f>
        <v/>
      </c>
      <c r="AH270" s="7">
        <f>IF(OR(R270="",S270=""),"",ROUND(R270*S270/100,0))</f>
        <v/>
      </c>
      <c r="AI270" s="7">
        <f>IF(OR(AG270="",R270=""),"",R270-N(AH270)-AG270)</f>
        <v/>
      </c>
      <c r="AJ270" s="6">
        <f>IF(AI270="","",ROUND(AI270/AG270*100,1))</f>
        <v/>
      </c>
    </row>
    <row r="271">
      <c r="A271" s="3" t="n"/>
      <c r="B271" s="3" t="n"/>
      <c r="C271" s="4" t="n"/>
      <c r="D271" s="3" t="n"/>
      <c r="E271" s="3" t="n"/>
      <c r="F271" s="3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3" t="n"/>
      <c r="P271" s="3" t="n"/>
      <c r="Q271" s="5" t="n"/>
      <c r="R271" s="5" t="n"/>
      <c r="S271" s="3" t="n"/>
      <c r="T271" s="3" t="n"/>
      <c r="U271" s="3" t="n"/>
      <c r="V271" s="3" t="n"/>
      <c r="W271" s="3" t="n"/>
      <c r="X271" s="3" t="n"/>
      <c r="Y271" s="3" t="n"/>
      <c r="Z271" s="6">
        <f>IF(F271="","",ROUND(F271/3.305785,1))</f>
        <v/>
      </c>
      <c r="AA271" s="6">
        <f>IF(OR(G271="",I271=""),"",ROUND(I271/G271*100,1))</f>
        <v/>
      </c>
      <c r="AB271" s="7">
        <f>IF(OR(Z271="",I271=""),"",ROUND(I271/Z271,0))</f>
        <v/>
      </c>
      <c r="AC271" s="7">
        <f>IF(I271="","",FLOOR(I271*IF(T271&lt;&gt;"",T271,IF(E271="농지",3,4))/100,10))</f>
        <v/>
      </c>
      <c r="AD271" s="7">
        <f>IF(I271="","",FLOOR(I271*IF(T271&lt;&gt;"",N(U271),0.2)/100,10))</f>
        <v/>
      </c>
      <c r="AE271" s="7">
        <f>IF(I271="","",FLOOR(I271*IF(T271&lt;&gt;"",N(V271),(IF(E271="농지",3,4)-2)*0.2)/100,10))</f>
        <v/>
      </c>
      <c r="AF271" s="7">
        <f>IF(N271="","",ROUND(N271*N(O271)/100*N(P271)/12,0))</f>
        <v/>
      </c>
      <c r="AG271" s="7">
        <f>IF(I271="","",I271+AC271+AD271+AE271+N(K271)+N(L271)+N(M271)+N(Q271)+N(AF271))</f>
        <v/>
      </c>
      <c r="AH271" s="7">
        <f>IF(OR(R271="",S271=""),"",ROUND(R271*S271/100,0))</f>
        <v/>
      </c>
      <c r="AI271" s="7">
        <f>IF(OR(AG271="",R271=""),"",R271-N(AH271)-AG271)</f>
        <v/>
      </c>
      <c r="AJ271" s="6">
        <f>IF(AI271="","",ROUND(AI271/AG271*100,1))</f>
        <v/>
      </c>
    </row>
    <row r="272">
      <c r="A272" s="3" t="n"/>
      <c r="B272" s="3" t="n"/>
      <c r="C272" s="4" t="n"/>
      <c r="D272" s="3" t="n"/>
      <c r="E272" s="3" t="n"/>
      <c r="F272" s="3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3" t="n"/>
      <c r="P272" s="3" t="n"/>
      <c r="Q272" s="5" t="n"/>
      <c r="R272" s="5" t="n"/>
      <c r="S272" s="3" t="n"/>
      <c r="T272" s="3" t="n"/>
      <c r="U272" s="3" t="n"/>
      <c r="V272" s="3" t="n"/>
      <c r="W272" s="3" t="n"/>
      <c r="X272" s="3" t="n"/>
      <c r="Y272" s="3" t="n"/>
      <c r="Z272" s="6">
        <f>IF(F272="","",ROUND(F272/3.305785,1))</f>
        <v/>
      </c>
      <c r="AA272" s="6">
        <f>IF(OR(G272="",I272=""),"",ROUND(I272/G272*100,1))</f>
        <v/>
      </c>
      <c r="AB272" s="7">
        <f>IF(OR(Z272="",I272=""),"",ROUND(I272/Z272,0))</f>
        <v/>
      </c>
      <c r="AC272" s="7">
        <f>IF(I272="","",FLOOR(I272*IF(T272&lt;&gt;"",T272,IF(E272="농지",3,4))/100,10))</f>
        <v/>
      </c>
      <c r="AD272" s="7">
        <f>IF(I272="","",FLOOR(I272*IF(T272&lt;&gt;"",N(U272),0.2)/100,10))</f>
        <v/>
      </c>
      <c r="AE272" s="7">
        <f>IF(I272="","",FLOOR(I272*IF(T272&lt;&gt;"",N(V272),(IF(E272="농지",3,4)-2)*0.2)/100,10))</f>
        <v/>
      </c>
      <c r="AF272" s="7">
        <f>IF(N272="","",ROUND(N272*N(O272)/100*N(P272)/12,0))</f>
        <v/>
      </c>
      <c r="AG272" s="7">
        <f>IF(I272="","",I272+AC272+AD272+AE272+N(K272)+N(L272)+N(M272)+N(Q272)+N(AF272))</f>
        <v/>
      </c>
      <c r="AH272" s="7">
        <f>IF(OR(R272="",S272=""),"",ROUND(R272*S272/100,0))</f>
        <v/>
      </c>
      <c r="AI272" s="7">
        <f>IF(OR(AG272="",R272=""),"",R272-N(AH272)-AG272)</f>
        <v/>
      </c>
      <c r="AJ272" s="6">
        <f>IF(AI272="","",ROUND(AI272/AG272*100,1))</f>
        <v/>
      </c>
    </row>
    <row r="273">
      <c r="A273" s="3" t="n"/>
      <c r="B273" s="3" t="n"/>
      <c r="C273" s="4" t="n"/>
      <c r="D273" s="3" t="n"/>
      <c r="E273" s="3" t="n"/>
      <c r="F273" s="3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3" t="n"/>
      <c r="P273" s="3" t="n"/>
      <c r="Q273" s="5" t="n"/>
      <c r="R273" s="5" t="n"/>
      <c r="S273" s="3" t="n"/>
      <c r="T273" s="3" t="n"/>
      <c r="U273" s="3" t="n"/>
      <c r="V273" s="3" t="n"/>
      <c r="W273" s="3" t="n"/>
      <c r="X273" s="3" t="n"/>
      <c r="Y273" s="3" t="n"/>
      <c r="Z273" s="6">
        <f>IF(F273="","",ROUND(F273/3.305785,1))</f>
        <v/>
      </c>
      <c r="AA273" s="6">
        <f>IF(OR(G273="",I273=""),"",ROUND(I273/G273*100,1))</f>
        <v/>
      </c>
      <c r="AB273" s="7">
        <f>IF(OR(Z273="",I273=""),"",ROUND(I273/Z273,0))</f>
        <v/>
      </c>
      <c r="AC273" s="7">
        <f>IF(I273="","",FLOOR(I273*IF(T273&lt;&gt;"",T273,IF(E273="농지",3,4))/100,10))</f>
        <v/>
      </c>
      <c r="AD273" s="7">
        <f>IF(I273="","",FLOOR(I273*IF(T273&lt;&gt;"",N(U273),0.2)/100,10))</f>
        <v/>
      </c>
      <c r="AE273" s="7">
        <f>IF(I273="","",FLOOR(I273*IF(T273&lt;&gt;"",N(V273),(IF(E273="농지",3,4)-2)*0.2)/100,10))</f>
        <v/>
      </c>
      <c r="AF273" s="7">
        <f>IF(N273="","",ROUND(N273*N(O273)/100*N(P273)/12,0))</f>
        <v/>
      </c>
      <c r="AG273" s="7">
        <f>IF(I273="","",I273+AC273+AD273+AE273+N(K273)+N(L273)+N(M273)+N(Q273)+N(AF273))</f>
        <v/>
      </c>
      <c r="AH273" s="7">
        <f>IF(OR(R273="",S273=""),"",ROUND(R273*S273/100,0))</f>
        <v/>
      </c>
      <c r="AI273" s="7">
        <f>IF(OR(AG273="",R273=""),"",R273-N(AH273)-AG273)</f>
        <v/>
      </c>
      <c r="AJ273" s="6">
        <f>IF(AI273="","",ROUND(AI273/AG273*100,1))</f>
        <v/>
      </c>
    </row>
    <row r="274">
      <c r="A274" s="3" t="n"/>
      <c r="B274" s="3" t="n"/>
      <c r="C274" s="4" t="n"/>
      <c r="D274" s="3" t="n"/>
      <c r="E274" s="3" t="n"/>
      <c r="F274" s="3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3" t="n"/>
      <c r="P274" s="3" t="n"/>
      <c r="Q274" s="5" t="n"/>
      <c r="R274" s="5" t="n"/>
      <c r="S274" s="3" t="n"/>
      <c r="T274" s="3" t="n"/>
      <c r="U274" s="3" t="n"/>
      <c r="V274" s="3" t="n"/>
      <c r="W274" s="3" t="n"/>
      <c r="X274" s="3" t="n"/>
      <c r="Y274" s="3" t="n"/>
      <c r="Z274" s="6">
        <f>IF(F274="","",ROUND(F274/3.305785,1))</f>
        <v/>
      </c>
      <c r="AA274" s="6">
        <f>IF(OR(G274="",I274=""),"",ROUND(I274/G274*100,1))</f>
        <v/>
      </c>
      <c r="AB274" s="7">
        <f>IF(OR(Z274="",I274=""),"",ROUND(I274/Z274,0))</f>
        <v/>
      </c>
      <c r="AC274" s="7">
        <f>IF(I274="","",FLOOR(I274*IF(T274&lt;&gt;"",T274,IF(E274="농지",3,4))/100,10))</f>
        <v/>
      </c>
      <c r="AD274" s="7">
        <f>IF(I274="","",FLOOR(I274*IF(T274&lt;&gt;"",N(U274),0.2)/100,10))</f>
        <v/>
      </c>
      <c r="AE274" s="7">
        <f>IF(I274="","",FLOOR(I274*IF(T274&lt;&gt;"",N(V274),(IF(E274="농지",3,4)-2)*0.2)/100,10))</f>
        <v/>
      </c>
      <c r="AF274" s="7">
        <f>IF(N274="","",ROUND(N274*N(O274)/100*N(P274)/12,0))</f>
        <v/>
      </c>
      <c r="AG274" s="7">
        <f>IF(I274="","",I274+AC274+AD274+AE274+N(K274)+N(L274)+N(M274)+N(Q274)+N(AF274))</f>
        <v/>
      </c>
      <c r="AH274" s="7">
        <f>IF(OR(R274="",S274=""),"",ROUND(R274*S274/100,0))</f>
        <v/>
      </c>
      <c r="AI274" s="7">
        <f>IF(OR(AG274="",R274=""),"",R274-N(AH274)-AG274)</f>
        <v/>
      </c>
      <c r="AJ274" s="6">
        <f>IF(AI274="","",ROUND(AI274/AG274*100,1))</f>
        <v/>
      </c>
    </row>
    <row r="275">
      <c r="A275" s="3" t="n"/>
      <c r="B275" s="3" t="n"/>
      <c r="C275" s="4" t="n"/>
      <c r="D275" s="3" t="n"/>
      <c r="E275" s="3" t="n"/>
      <c r="F275" s="3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3" t="n"/>
      <c r="P275" s="3" t="n"/>
      <c r="Q275" s="5" t="n"/>
      <c r="R275" s="5" t="n"/>
      <c r="S275" s="3" t="n"/>
      <c r="T275" s="3" t="n"/>
      <c r="U275" s="3" t="n"/>
      <c r="V275" s="3" t="n"/>
      <c r="W275" s="3" t="n"/>
      <c r="X275" s="3" t="n"/>
      <c r="Y275" s="3" t="n"/>
      <c r="Z275" s="6">
        <f>IF(F275="","",ROUND(F275/3.305785,1))</f>
        <v/>
      </c>
      <c r="AA275" s="6">
        <f>IF(OR(G275="",I275=""),"",ROUND(I275/G275*100,1))</f>
        <v/>
      </c>
      <c r="AB275" s="7">
        <f>IF(OR(Z275="",I275=""),"",ROUND(I275/Z275,0))</f>
        <v/>
      </c>
      <c r="AC275" s="7">
        <f>IF(I275="","",FLOOR(I275*IF(T275&lt;&gt;"",T275,IF(E275="농지",3,4))/100,10))</f>
        <v/>
      </c>
      <c r="AD275" s="7">
        <f>IF(I275="","",FLOOR(I275*IF(T275&lt;&gt;"",N(U275),0.2)/100,10))</f>
        <v/>
      </c>
      <c r="AE275" s="7">
        <f>IF(I275="","",FLOOR(I275*IF(T275&lt;&gt;"",N(V275),(IF(E275="농지",3,4)-2)*0.2)/100,10))</f>
        <v/>
      </c>
      <c r="AF275" s="7">
        <f>IF(N275="","",ROUND(N275*N(O275)/100*N(P275)/12,0))</f>
        <v/>
      </c>
      <c r="AG275" s="7">
        <f>IF(I275="","",I275+AC275+AD275+AE275+N(K275)+N(L275)+N(M275)+N(Q275)+N(AF275))</f>
        <v/>
      </c>
      <c r="AH275" s="7">
        <f>IF(OR(R275="",S275=""),"",ROUND(R275*S275/100,0))</f>
        <v/>
      </c>
      <c r="AI275" s="7">
        <f>IF(OR(AG275="",R275=""),"",R275-N(AH275)-AG275)</f>
        <v/>
      </c>
      <c r="AJ275" s="6">
        <f>IF(AI275="","",ROUND(AI275/AG275*100,1))</f>
        <v/>
      </c>
    </row>
    <row r="276">
      <c r="A276" s="3" t="n"/>
      <c r="B276" s="3" t="n"/>
      <c r="C276" s="4" t="n"/>
      <c r="D276" s="3" t="n"/>
      <c r="E276" s="3" t="n"/>
      <c r="F276" s="3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3" t="n"/>
      <c r="P276" s="3" t="n"/>
      <c r="Q276" s="5" t="n"/>
      <c r="R276" s="5" t="n"/>
      <c r="S276" s="3" t="n"/>
      <c r="T276" s="3" t="n"/>
      <c r="U276" s="3" t="n"/>
      <c r="V276" s="3" t="n"/>
      <c r="W276" s="3" t="n"/>
      <c r="X276" s="3" t="n"/>
      <c r="Y276" s="3" t="n"/>
      <c r="Z276" s="6">
        <f>IF(F276="","",ROUND(F276/3.305785,1))</f>
        <v/>
      </c>
      <c r="AA276" s="6">
        <f>IF(OR(G276="",I276=""),"",ROUND(I276/G276*100,1))</f>
        <v/>
      </c>
      <c r="AB276" s="7">
        <f>IF(OR(Z276="",I276=""),"",ROUND(I276/Z276,0))</f>
        <v/>
      </c>
      <c r="AC276" s="7">
        <f>IF(I276="","",FLOOR(I276*IF(T276&lt;&gt;"",T276,IF(E276="농지",3,4))/100,10))</f>
        <v/>
      </c>
      <c r="AD276" s="7">
        <f>IF(I276="","",FLOOR(I276*IF(T276&lt;&gt;"",N(U276),0.2)/100,10))</f>
        <v/>
      </c>
      <c r="AE276" s="7">
        <f>IF(I276="","",FLOOR(I276*IF(T276&lt;&gt;"",N(V276),(IF(E276="농지",3,4)-2)*0.2)/100,10))</f>
        <v/>
      </c>
      <c r="AF276" s="7">
        <f>IF(N276="","",ROUND(N276*N(O276)/100*N(P276)/12,0))</f>
        <v/>
      </c>
      <c r="AG276" s="7">
        <f>IF(I276="","",I276+AC276+AD276+AE276+N(K276)+N(L276)+N(M276)+N(Q276)+N(AF276))</f>
        <v/>
      </c>
      <c r="AH276" s="7">
        <f>IF(OR(R276="",S276=""),"",ROUND(R276*S276/100,0))</f>
        <v/>
      </c>
      <c r="AI276" s="7">
        <f>IF(OR(AG276="",R276=""),"",R276-N(AH276)-AG276)</f>
        <v/>
      </c>
      <c r="AJ276" s="6">
        <f>IF(AI276="","",ROUND(AI276/AG276*100,1))</f>
        <v/>
      </c>
    </row>
    <row r="277">
      <c r="A277" s="3" t="n"/>
      <c r="B277" s="3" t="n"/>
      <c r="C277" s="4" t="n"/>
      <c r="D277" s="3" t="n"/>
      <c r="E277" s="3" t="n"/>
      <c r="F277" s="3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3" t="n"/>
      <c r="P277" s="3" t="n"/>
      <c r="Q277" s="5" t="n"/>
      <c r="R277" s="5" t="n"/>
      <c r="S277" s="3" t="n"/>
      <c r="T277" s="3" t="n"/>
      <c r="U277" s="3" t="n"/>
      <c r="V277" s="3" t="n"/>
      <c r="W277" s="3" t="n"/>
      <c r="X277" s="3" t="n"/>
      <c r="Y277" s="3" t="n"/>
      <c r="Z277" s="6">
        <f>IF(F277="","",ROUND(F277/3.305785,1))</f>
        <v/>
      </c>
      <c r="AA277" s="6">
        <f>IF(OR(G277="",I277=""),"",ROUND(I277/G277*100,1))</f>
        <v/>
      </c>
      <c r="AB277" s="7">
        <f>IF(OR(Z277="",I277=""),"",ROUND(I277/Z277,0))</f>
        <v/>
      </c>
      <c r="AC277" s="7">
        <f>IF(I277="","",FLOOR(I277*IF(T277&lt;&gt;"",T277,IF(E277="농지",3,4))/100,10))</f>
        <v/>
      </c>
      <c r="AD277" s="7">
        <f>IF(I277="","",FLOOR(I277*IF(T277&lt;&gt;"",N(U277),0.2)/100,10))</f>
        <v/>
      </c>
      <c r="AE277" s="7">
        <f>IF(I277="","",FLOOR(I277*IF(T277&lt;&gt;"",N(V277),(IF(E277="농지",3,4)-2)*0.2)/100,10))</f>
        <v/>
      </c>
      <c r="AF277" s="7">
        <f>IF(N277="","",ROUND(N277*N(O277)/100*N(P277)/12,0))</f>
        <v/>
      </c>
      <c r="AG277" s="7">
        <f>IF(I277="","",I277+AC277+AD277+AE277+N(K277)+N(L277)+N(M277)+N(Q277)+N(AF277))</f>
        <v/>
      </c>
      <c r="AH277" s="7">
        <f>IF(OR(R277="",S277=""),"",ROUND(R277*S277/100,0))</f>
        <v/>
      </c>
      <c r="AI277" s="7">
        <f>IF(OR(AG277="",R277=""),"",R277-N(AH277)-AG277)</f>
        <v/>
      </c>
      <c r="AJ277" s="6">
        <f>IF(AI277="","",ROUND(AI277/AG277*100,1))</f>
        <v/>
      </c>
    </row>
    <row r="278">
      <c r="A278" s="3" t="n"/>
      <c r="B278" s="3" t="n"/>
      <c r="C278" s="4" t="n"/>
      <c r="D278" s="3" t="n"/>
      <c r="E278" s="3" t="n"/>
      <c r="F278" s="3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3" t="n"/>
      <c r="P278" s="3" t="n"/>
      <c r="Q278" s="5" t="n"/>
      <c r="R278" s="5" t="n"/>
      <c r="S278" s="3" t="n"/>
      <c r="T278" s="3" t="n"/>
      <c r="U278" s="3" t="n"/>
      <c r="V278" s="3" t="n"/>
      <c r="W278" s="3" t="n"/>
      <c r="X278" s="3" t="n"/>
      <c r="Y278" s="3" t="n"/>
      <c r="Z278" s="6">
        <f>IF(F278="","",ROUND(F278/3.305785,1))</f>
        <v/>
      </c>
      <c r="AA278" s="6">
        <f>IF(OR(G278="",I278=""),"",ROUND(I278/G278*100,1))</f>
        <v/>
      </c>
      <c r="AB278" s="7">
        <f>IF(OR(Z278="",I278=""),"",ROUND(I278/Z278,0))</f>
        <v/>
      </c>
      <c r="AC278" s="7">
        <f>IF(I278="","",FLOOR(I278*IF(T278&lt;&gt;"",T278,IF(E278="농지",3,4))/100,10))</f>
        <v/>
      </c>
      <c r="AD278" s="7">
        <f>IF(I278="","",FLOOR(I278*IF(T278&lt;&gt;"",N(U278),0.2)/100,10))</f>
        <v/>
      </c>
      <c r="AE278" s="7">
        <f>IF(I278="","",FLOOR(I278*IF(T278&lt;&gt;"",N(V278),(IF(E278="농지",3,4)-2)*0.2)/100,10))</f>
        <v/>
      </c>
      <c r="AF278" s="7">
        <f>IF(N278="","",ROUND(N278*N(O278)/100*N(P278)/12,0))</f>
        <v/>
      </c>
      <c r="AG278" s="7">
        <f>IF(I278="","",I278+AC278+AD278+AE278+N(K278)+N(L278)+N(M278)+N(Q278)+N(AF278))</f>
        <v/>
      </c>
      <c r="AH278" s="7">
        <f>IF(OR(R278="",S278=""),"",ROUND(R278*S278/100,0))</f>
        <v/>
      </c>
      <c r="AI278" s="7">
        <f>IF(OR(AG278="",R278=""),"",R278-N(AH278)-AG278)</f>
        <v/>
      </c>
      <c r="AJ278" s="6">
        <f>IF(AI278="","",ROUND(AI278/AG278*100,1))</f>
        <v/>
      </c>
    </row>
    <row r="279">
      <c r="A279" s="3" t="n"/>
      <c r="B279" s="3" t="n"/>
      <c r="C279" s="4" t="n"/>
      <c r="D279" s="3" t="n"/>
      <c r="E279" s="3" t="n"/>
      <c r="F279" s="3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3" t="n"/>
      <c r="P279" s="3" t="n"/>
      <c r="Q279" s="5" t="n"/>
      <c r="R279" s="5" t="n"/>
      <c r="S279" s="3" t="n"/>
      <c r="T279" s="3" t="n"/>
      <c r="U279" s="3" t="n"/>
      <c r="V279" s="3" t="n"/>
      <c r="W279" s="3" t="n"/>
      <c r="X279" s="3" t="n"/>
      <c r="Y279" s="3" t="n"/>
      <c r="Z279" s="6">
        <f>IF(F279="","",ROUND(F279/3.305785,1))</f>
        <v/>
      </c>
      <c r="AA279" s="6">
        <f>IF(OR(G279="",I279=""),"",ROUND(I279/G279*100,1))</f>
        <v/>
      </c>
      <c r="AB279" s="7">
        <f>IF(OR(Z279="",I279=""),"",ROUND(I279/Z279,0))</f>
        <v/>
      </c>
      <c r="AC279" s="7">
        <f>IF(I279="","",FLOOR(I279*IF(T279&lt;&gt;"",T279,IF(E279="농지",3,4))/100,10))</f>
        <v/>
      </c>
      <c r="AD279" s="7">
        <f>IF(I279="","",FLOOR(I279*IF(T279&lt;&gt;"",N(U279),0.2)/100,10))</f>
        <v/>
      </c>
      <c r="AE279" s="7">
        <f>IF(I279="","",FLOOR(I279*IF(T279&lt;&gt;"",N(V279),(IF(E279="농지",3,4)-2)*0.2)/100,10))</f>
        <v/>
      </c>
      <c r="AF279" s="7">
        <f>IF(N279="","",ROUND(N279*N(O279)/100*N(P279)/12,0))</f>
        <v/>
      </c>
      <c r="AG279" s="7">
        <f>IF(I279="","",I279+AC279+AD279+AE279+N(K279)+N(L279)+N(M279)+N(Q279)+N(AF279))</f>
        <v/>
      </c>
      <c r="AH279" s="7">
        <f>IF(OR(R279="",S279=""),"",ROUND(R279*S279/100,0))</f>
        <v/>
      </c>
      <c r="AI279" s="7">
        <f>IF(OR(AG279="",R279=""),"",R279-N(AH279)-AG279)</f>
        <v/>
      </c>
      <c r="AJ279" s="6">
        <f>IF(AI279="","",ROUND(AI279/AG279*100,1))</f>
        <v/>
      </c>
    </row>
    <row r="280">
      <c r="A280" s="3" t="n"/>
      <c r="B280" s="3" t="n"/>
      <c r="C280" s="4" t="n"/>
      <c r="D280" s="3" t="n"/>
      <c r="E280" s="3" t="n"/>
      <c r="F280" s="3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3" t="n"/>
      <c r="P280" s="3" t="n"/>
      <c r="Q280" s="5" t="n"/>
      <c r="R280" s="5" t="n"/>
      <c r="S280" s="3" t="n"/>
      <c r="T280" s="3" t="n"/>
      <c r="U280" s="3" t="n"/>
      <c r="V280" s="3" t="n"/>
      <c r="W280" s="3" t="n"/>
      <c r="X280" s="3" t="n"/>
      <c r="Y280" s="3" t="n"/>
      <c r="Z280" s="6">
        <f>IF(F280="","",ROUND(F280/3.305785,1))</f>
        <v/>
      </c>
      <c r="AA280" s="6">
        <f>IF(OR(G280="",I280=""),"",ROUND(I280/G280*100,1))</f>
        <v/>
      </c>
      <c r="AB280" s="7">
        <f>IF(OR(Z280="",I280=""),"",ROUND(I280/Z280,0))</f>
        <v/>
      </c>
      <c r="AC280" s="7">
        <f>IF(I280="","",FLOOR(I280*IF(T280&lt;&gt;"",T280,IF(E280="농지",3,4))/100,10))</f>
        <v/>
      </c>
      <c r="AD280" s="7">
        <f>IF(I280="","",FLOOR(I280*IF(T280&lt;&gt;"",N(U280),0.2)/100,10))</f>
        <v/>
      </c>
      <c r="AE280" s="7">
        <f>IF(I280="","",FLOOR(I280*IF(T280&lt;&gt;"",N(V280),(IF(E280="농지",3,4)-2)*0.2)/100,10))</f>
        <v/>
      </c>
      <c r="AF280" s="7">
        <f>IF(N280="","",ROUND(N280*N(O280)/100*N(P280)/12,0))</f>
        <v/>
      </c>
      <c r="AG280" s="7">
        <f>IF(I280="","",I280+AC280+AD280+AE280+N(K280)+N(L280)+N(M280)+N(Q280)+N(AF280))</f>
        <v/>
      </c>
      <c r="AH280" s="7">
        <f>IF(OR(R280="",S280=""),"",ROUND(R280*S280/100,0))</f>
        <v/>
      </c>
      <c r="AI280" s="7">
        <f>IF(OR(AG280="",R280=""),"",R280-N(AH280)-AG280)</f>
        <v/>
      </c>
      <c r="AJ280" s="6">
        <f>IF(AI280="","",ROUND(AI280/AG280*100,1))</f>
        <v/>
      </c>
    </row>
    <row r="281">
      <c r="A281" s="3" t="n"/>
      <c r="B281" s="3" t="n"/>
      <c r="C281" s="4" t="n"/>
      <c r="D281" s="3" t="n"/>
      <c r="E281" s="3" t="n"/>
      <c r="F281" s="3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3" t="n"/>
      <c r="P281" s="3" t="n"/>
      <c r="Q281" s="5" t="n"/>
      <c r="R281" s="5" t="n"/>
      <c r="S281" s="3" t="n"/>
      <c r="T281" s="3" t="n"/>
      <c r="U281" s="3" t="n"/>
      <c r="V281" s="3" t="n"/>
      <c r="W281" s="3" t="n"/>
      <c r="X281" s="3" t="n"/>
      <c r="Y281" s="3" t="n"/>
      <c r="Z281" s="6">
        <f>IF(F281="","",ROUND(F281/3.305785,1))</f>
        <v/>
      </c>
      <c r="AA281" s="6">
        <f>IF(OR(G281="",I281=""),"",ROUND(I281/G281*100,1))</f>
        <v/>
      </c>
      <c r="AB281" s="7">
        <f>IF(OR(Z281="",I281=""),"",ROUND(I281/Z281,0))</f>
        <v/>
      </c>
      <c r="AC281" s="7">
        <f>IF(I281="","",FLOOR(I281*IF(T281&lt;&gt;"",T281,IF(E281="농지",3,4))/100,10))</f>
        <v/>
      </c>
      <c r="AD281" s="7">
        <f>IF(I281="","",FLOOR(I281*IF(T281&lt;&gt;"",N(U281),0.2)/100,10))</f>
        <v/>
      </c>
      <c r="AE281" s="7">
        <f>IF(I281="","",FLOOR(I281*IF(T281&lt;&gt;"",N(V281),(IF(E281="농지",3,4)-2)*0.2)/100,10))</f>
        <v/>
      </c>
      <c r="AF281" s="7">
        <f>IF(N281="","",ROUND(N281*N(O281)/100*N(P281)/12,0))</f>
        <v/>
      </c>
      <c r="AG281" s="7">
        <f>IF(I281="","",I281+AC281+AD281+AE281+N(K281)+N(L281)+N(M281)+N(Q281)+N(AF281))</f>
        <v/>
      </c>
      <c r="AH281" s="7">
        <f>IF(OR(R281="",S281=""),"",ROUND(R281*S281/100,0))</f>
        <v/>
      </c>
      <c r="AI281" s="7">
        <f>IF(OR(AG281="",R281=""),"",R281-N(AH281)-AG281)</f>
        <v/>
      </c>
      <c r="AJ281" s="6">
        <f>IF(AI281="","",ROUND(AI281/AG281*100,1))</f>
        <v/>
      </c>
    </row>
    <row r="282">
      <c r="A282" s="3" t="n"/>
      <c r="B282" s="3" t="n"/>
      <c r="C282" s="4" t="n"/>
      <c r="D282" s="3" t="n"/>
      <c r="E282" s="3" t="n"/>
      <c r="F282" s="3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3" t="n"/>
      <c r="P282" s="3" t="n"/>
      <c r="Q282" s="5" t="n"/>
      <c r="R282" s="5" t="n"/>
      <c r="S282" s="3" t="n"/>
      <c r="T282" s="3" t="n"/>
      <c r="U282" s="3" t="n"/>
      <c r="V282" s="3" t="n"/>
      <c r="W282" s="3" t="n"/>
      <c r="X282" s="3" t="n"/>
      <c r="Y282" s="3" t="n"/>
      <c r="Z282" s="6">
        <f>IF(F282="","",ROUND(F282/3.305785,1))</f>
        <v/>
      </c>
      <c r="AA282" s="6">
        <f>IF(OR(G282="",I282=""),"",ROUND(I282/G282*100,1))</f>
        <v/>
      </c>
      <c r="AB282" s="7">
        <f>IF(OR(Z282="",I282=""),"",ROUND(I282/Z282,0))</f>
        <v/>
      </c>
      <c r="AC282" s="7">
        <f>IF(I282="","",FLOOR(I282*IF(T282&lt;&gt;"",T282,IF(E282="농지",3,4))/100,10))</f>
        <v/>
      </c>
      <c r="AD282" s="7">
        <f>IF(I282="","",FLOOR(I282*IF(T282&lt;&gt;"",N(U282),0.2)/100,10))</f>
        <v/>
      </c>
      <c r="AE282" s="7">
        <f>IF(I282="","",FLOOR(I282*IF(T282&lt;&gt;"",N(V282),(IF(E282="농지",3,4)-2)*0.2)/100,10))</f>
        <v/>
      </c>
      <c r="AF282" s="7">
        <f>IF(N282="","",ROUND(N282*N(O282)/100*N(P282)/12,0))</f>
        <v/>
      </c>
      <c r="AG282" s="7">
        <f>IF(I282="","",I282+AC282+AD282+AE282+N(K282)+N(L282)+N(M282)+N(Q282)+N(AF282))</f>
        <v/>
      </c>
      <c r="AH282" s="7">
        <f>IF(OR(R282="",S282=""),"",ROUND(R282*S282/100,0))</f>
        <v/>
      </c>
      <c r="AI282" s="7">
        <f>IF(OR(AG282="",R282=""),"",R282-N(AH282)-AG282)</f>
        <v/>
      </c>
      <c r="AJ282" s="6">
        <f>IF(AI282="","",ROUND(AI282/AG282*100,1))</f>
        <v/>
      </c>
    </row>
    <row r="283">
      <c r="A283" s="3" t="n"/>
      <c r="B283" s="3" t="n"/>
      <c r="C283" s="4" t="n"/>
      <c r="D283" s="3" t="n"/>
      <c r="E283" s="3" t="n"/>
      <c r="F283" s="3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3" t="n"/>
      <c r="P283" s="3" t="n"/>
      <c r="Q283" s="5" t="n"/>
      <c r="R283" s="5" t="n"/>
      <c r="S283" s="3" t="n"/>
      <c r="T283" s="3" t="n"/>
      <c r="U283" s="3" t="n"/>
      <c r="V283" s="3" t="n"/>
      <c r="W283" s="3" t="n"/>
      <c r="X283" s="3" t="n"/>
      <c r="Y283" s="3" t="n"/>
      <c r="Z283" s="6">
        <f>IF(F283="","",ROUND(F283/3.305785,1))</f>
        <v/>
      </c>
      <c r="AA283" s="6">
        <f>IF(OR(G283="",I283=""),"",ROUND(I283/G283*100,1))</f>
        <v/>
      </c>
      <c r="AB283" s="7">
        <f>IF(OR(Z283="",I283=""),"",ROUND(I283/Z283,0))</f>
        <v/>
      </c>
      <c r="AC283" s="7">
        <f>IF(I283="","",FLOOR(I283*IF(T283&lt;&gt;"",T283,IF(E283="농지",3,4))/100,10))</f>
        <v/>
      </c>
      <c r="AD283" s="7">
        <f>IF(I283="","",FLOOR(I283*IF(T283&lt;&gt;"",N(U283),0.2)/100,10))</f>
        <v/>
      </c>
      <c r="AE283" s="7">
        <f>IF(I283="","",FLOOR(I283*IF(T283&lt;&gt;"",N(V283),(IF(E283="농지",3,4)-2)*0.2)/100,10))</f>
        <v/>
      </c>
      <c r="AF283" s="7">
        <f>IF(N283="","",ROUND(N283*N(O283)/100*N(P283)/12,0))</f>
        <v/>
      </c>
      <c r="AG283" s="7">
        <f>IF(I283="","",I283+AC283+AD283+AE283+N(K283)+N(L283)+N(M283)+N(Q283)+N(AF283))</f>
        <v/>
      </c>
      <c r="AH283" s="7">
        <f>IF(OR(R283="",S283=""),"",ROUND(R283*S283/100,0))</f>
        <v/>
      </c>
      <c r="AI283" s="7">
        <f>IF(OR(AG283="",R283=""),"",R283-N(AH283)-AG283)</f>
        <v/>
      </c>
      <c r="AJ283" s="6">
        <f>IF(AI283="","",ROUND(AI283/AG283*100,1))</f>
        <v/>
      </c>
    </row>
    <row r="284">
      <c r="A284" s="3" t="n"/>
      <c r="B284" s="3" t="n"/>
      <c r="C284" s="4" t="n"/>
      <c r="D284" s="3" t="n"/>
      <c r="E284" s="3" t="n"/>
      <c r="F284" s="3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3" t="n"/>
      <c r="P284" s="3" t="n"/>
      <c r="Q284" s="5" t="n"/>
      <c r="R284" s="5" t="n"/>
      <c r="S284" s="3" t="n"/>
      <c r="T284" s="3" t="n"/>
      <c r="U284" s="3" t="n"/>
      <c r="V284" s="3" t="n"/>
      <c r="W284" s="3" t="n"/>
      <c r="X284" s="3" t="n"/>
      <c r="Y284" s="3" t="n"/>
      <c r="Z284" s="6">
        <f>IF(F284="","",ROUND(F284/3.305785,1))</f>
        <v/>
      </c>
      <c r="AA284" s="6">
        <f>IF(OR(G284="",I284=""),"",ROUND(I284/G284*100,1))</f>
        <v/>
      </c>
      <c r="AB284" s="7">
        <f>IF(OR(Z284="",I284=""),"",ROUND(I284/Z284,0))</f>
        <v/>
      </c>
      <c r="AC284" s="7">
        <f>IF(I284="","",FLOOR(I284*IF(T284&lt;&gt;"",T284,IF(E284="농지",3,4))/100,10))</f>
        <v/>
      </c>
      <c r="AD284" s="7">
        <f>IF(I284="","",FLOOR(I284*IF(T284&lt;&gt;"",N(U284),0.2)/100,10))</f>
        <v/>
      </c>
      <c r="AE284" s="7">
        <f>IF(I284="","",FLOOR(I284*IF(T284&lt;&gt;"",N(V284),(IF(E284="농지",3,4)-2)*0.2)/100,10))</f>
        <v/>
      </c>
      <c r="AF284" s="7">
        <f>IF(N284="","",ROUND(N284*N(O284)/100*N(P284)/12,0))</f>
        <v/>
      </c>
      <c r="AG284" s="7">
        <f>IF(I284="","",I284+AC284+AD284+AE284+N(K284)+N(L284)+N(M284)+N(Q284)+N(AF284))</f>
        <v/>
      </c>
      <c r="AH284" s="7">
        <f>IF(OR(R284="",S284=""),"",ROUND(R284*S284/100,0))</f>
        <v/>
      </c>
      <c r="AI284" s="7">
        <f>IF(OR(AG284="",R284=""),"",R284-N(AH284)-AG284)</f>
        <v/>
      </c>
      <c r="AJ284" s="6">
        <f>IF(AI284="","",ROUND(AI284/AG284*100,1))</f>
        <v/>
      </c>
    </row>
    <row r="285">
      <c r="A285" s="3" t="n"/>
      <c r="B285" s="3" t="n"/>
      <c r="C285" s="4" t="n"/>
      <c r="D285" s="3" t="n"/>
      <c r="E285" s="3" t="n"/>
      <c r="F285" s="3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3" t="n"/>
      <c r="P285" s="3" t="n"/>
      <c r="Q285" s="5" t="n"/>
      <c r="R285" s="5" t="n"/>
      <c r="S285" s="3" t="n"/>
      <c r="T285" s="3" t="n"/>
      <c r="U285" s="3" t="n"/>
      <c r="V285" s="3" t="n"/>
      <c r="W285" s="3" t="n"/>
      <c r="X285" s="3" t="n"/>
      <c r="Y285" s="3" t="n"/>
      <c r="Z285" s="6">
        <f>IF(F285="","",ROUND(F285/3.305785,1))</f>
        <v/>
      </c>
      <c r="AA285" s="6">
        <f>IF(OR(G285="",I285=""),"",ROUND(I285/G285*100,1))</f>
        <v/>
      </c>
      <c r="AB285" s="7">
        <f>IF(OR(Z285="",I285=""),"",ROUND(I285/Z285,0))</f>
        <v/>
      </c>
      <c r="AC285" s="7">
        <f>IF(I285="","",FLOOR(I285*IF(T285&lt;&gt;"",T285,IF(E285="농지",3,4))/100,10))</f>
        <v/>
      </c>
      <c r="AD285" s="7">
        <f>IF(I285="","",FLOOR(I285*IF(T285&lt;&gt;"",N(U285),0.2)/100,10))</f>
        <v/>
      </c>
      <c r="AE285" s="7">
        <f>IF(I285="","",FLOOR(I285*IF(T285&lt;&gt;"",N(V285),(IF(E285="농지",3,4)-2)*0.2)/100,10))</f>
        <v/>
      </c>
      <c r="AF285" s="7">
        <f>IF(N285="","",ROUND(N285*N(O285)/100*N(P285)/12,0))</f>
        <v/>
      </c>
      <c r="AG285" s="7">
        <f>IF(I285="","",I285+AC285+AD285+AE285+N(K285)+N(L285)+N(M285)+N(Q285)+N(AF285))</f>
        <v/>
      </c>
      <c r="AH285" s="7">
        <f>IF(OR(R285="",S285=""),"",ROUND(R285*S285/100,0))</f>
        <v/>
      </c>
      <c r="AI285" s="7">
        <f>IF(OR(AG285="",R285=""),"",R285-N(AH285)-AG285)</f>
        <v/>
      </c>
      <c r="AJ285" s="6">
        <f>IF(AI285="","",ROUND(AI285/AG285*100,1))</f>
        <v/>
      </c>
    </row>
    <row r="286">
      <c r="A286" s="3" t="n"/>
      <c r="B286" s="3" t="n"/>
      <c r="C286" s="4" t="n"/>
      <c r="D286" s="3" t="n"/>
      <c r="E286" s="3" t="n"/>
      <c r="F286" s="3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3" t="n"/>
      <c r="P286" s="3" t="n"/>
      <c r="Q286" s="5" t="n"/>
      <c r="R286" s="5" t="n"/>
      <c r="S286" s="3" t="n"/>
      <c r="T286" s="3" t="n"/>
      <c r="U286" s="3" t="n"/>
      <c r="V286" s="3" t="n"/>
      <c r="W286" s="3" t="n"/>
      <c r="X286" s="3" t="n"/>
      <c r="Y286" s="3" t="n"/>
      <c r="Z286" s="6">
        <f>IF(F286="","",ROUND(F286/3.305785,1))</f>
        <v/>
      </c>
      <c r="AA286" s="6">
        <f>IF(OR(G286="",I286=""),"",ROUND(I286/G286*100,1))</f>
        <v/>
      </c>
      <c r="AB286" s="7">
        <f>IF(OR(Z286="",I286=""),"",ROUND(I286/Z286,0))</f>
        <v/>
      </c>
      <c r="AC286" s="7">
        <f>IF(I286="","",FLOOR(I286*IF(T286&lt;&gt;"",T286,IF(E286="농지",3,4))/100,10))</f>
        <v/>
      </c>
      <c r="AD286" s="7">
        <f>IF(I286="","",FLOOR(I286*IF(T286&lt;&gt;"",N(U286),0.2)/100,10))</f>
        <v/>
      </c>
      <c r="AE286" s="7">
        <f>IF(I286="","",FLOOR(I286*IF(T286&lt;&gt;"",N(V286),(IF(E286="농지",3,4)-2)*0.2)/100,10))</f>
        <v/>
      </c>
      <c r="AF286" s="7">
        <f>IF(N286="","",ROUND(N286*N(O286)/100*N(P286)/12,0))</f>
        <v/>
      </c>
      <c r="AG286" s="7">
        <f>IF(I286="","",I286+AC286+AD286+AE286+N(K286)+N(L286)+N(M286)+N(Q286)+N(AF286))</f>
        <v/>
      </c>
      <c r="AH286" s="7">
        <f>IF(OR(R286="",S286=""),"",ROUND(R286*S286/100,0))</f>
        <v/>
      </c>
      <c r="AI286" s="7">
        <f>IF(OR(AG286="",R286=""),"",R286-N(AH286)-AG286)</f>
        <v/>
      </c>
      <c r="AJ286" s="6">
        <f>IF(AI286="","",ROUND(AI286/AG286*100,1))</f>
        <v/>
      </c>
    </row>
    <row r="287">
      <c r="A287" s="3" t="n"/>
      <c r="B287" s="3" t="n"/>
      <c r="C287" s="4" t="n"/>
      <c r="D287" s="3" t="n"/>
      <c r="E287" s="3" t="n"/>
      <c r="F287" s="3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3" t="n"/>
      <c r="P287" s="3" t="n"/>
      <c r="Q287" s="5" t="n"/>
      <c r="R287" s="5" t="n"/>
      <c r="S287" s="3" t="n"/>
      <c r="T287" s="3" t="n"/>
      <c r="U287" s="3" t="n"/>
      <c r="V287" s="3" t="n"/>
      <c r="W287" s="3" t="n"/>
      <c r="X287" s="3" t="n"/>
      <c r="Y287" s="3" t="n"/>
      <c r="Z287" s="6">
        <f>IF(F287="","",ROUND(F287/3.305785,1))</f>
        <v/>
      </c>
      <c r="AA287" s="6">
        <f>IF(OR(G287="",I287=""),"",ROUND(I287/G287*100,1))</f>
        <v/>
      </c>
      <c r="AB287" s="7">
        <f>IF(OR(Z287="",I287=""),"",ROUND(I287/Z287,0))</f>
        <v/>
      </c>
      <c r="AC287" s="7">
        <f>IF(I287="","",FLOOR(I287*IF(T287&lt;&gt;"",T287,IF(E287="농지",3,4))/100,10))</f>
        <v/>
      </c>
      <c r="AD287" s="7">
        <f>IF(I287="","",FLOOR(I287*IF(T287&lt;&gt;"",N(U287),0.2)/100,10))</f>
        <v/>
      </c>
      <c r="AE287" s="7">
        <f>IF(I287="","",FLOOR(I287*IF(T287&lt;&gt;"",N(V287),(IF(E287="농지",3,4)-2)*0.2)/100,10))</f>
        <v/>
      </c>
      <c r="AF287" s="7">
        <f>IF(N287="","",ROUND(N287*N(O287)/100*N(P287)/12,0))</f>
        <v/>
      </c>
      <c r="AG287" s="7">
        <f>IF(I287="","",I287+AC287+AD287+AE287+N(K287)+N(L287)+N(M287)+N(Q287)+N(AF287))</f>
        <v/>
      </c>
      <c r="AH287" s="7">
        <f>IF(OR(R287="",S287=""),"",ROUND(R287*S287/100,0))</f>
        <v/>
      </c>
      <c r="AI287" s="7">
        <f>IF(OR(AG287="",R287=""),"",R287-N(AH287)-AG287)</f>
        <v/>
      </c>
      <c r="AJ287" s="6">
        <f>IF(AI287="","",ROUND(AI287/AG287*100,1))</f>
        <v/>
      </c>
    </row>
    <row r="288">
      <c r="A288" s="3" t="n"/>
      <c r="B288" s="3" t="n"/>
      <c r="C288" s="4" t="n"/>
      <c r="D288" s="3" t="n"/>
      <c r="E288" s="3" t="n"/>
      <c r="F288" s="3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3" t="n"/>
      <c r="P288" s="3" t="n"/>
      <c r="Q288" s="5" t="n"/>
      <c r="R288" s="5" t="n"/>
      <c r="S288" s="3" t="n"/>
      <c r="T288" s="3" t="n"/>
      <c r="U288" s="3" t="n"/>
      <c r="V288" s="3" t="n"/>
      <c r="W288" s="3" t="n"/>
      <c r="X288" s="3" t="n"/>
      <c r="Y288" s="3" t="n"/>
      <c r="Z288" s="6">
        <f>IF(F288="","",ROUND(F288/3.305785,1))</f>
        <v/>
      </c>
      <c r="AA288" s="6">
        <f>IF(OR(G288="",I288=""),"",ROUND(I288/G288*100,1))</f>
        <v/>
      </c>
      <c r="AB288" s="7">
        <f>IF(OR(Z288="",I288=""),"",ROUND(I288/Z288,0))</f>
        <v/>
      </c>
      <c r="AC288" s="7">
        <f>IF(I288="","",FLOOR(I288*IF(T288&lt;&gt;"",T288,IF(E288="농지",3,4))/100,10))</f>
        <v/>
      </c>
      <c r="AD288" s="7">
        <f>IF(I288="","",FLOOR(I288*IF(T288&lt;&gt;"",N(U288),0.2)/100,10))</f>
        <v/>
      </c>
      <c r="AE288" s="7">
        <f>IF(I288="","",FLOOR(I288*IF(T288&lt;&gt;"",N(V288),(IF(E288="농지",3,4)-2)*0.2)/100,10))</f>
        <v/>
      </c>
      <c r="AF288" s="7">
        <f>IF(N288="","",ROUND(N288*N(O288)/100*N(P288)/12,0))</f>
        <v/>
      </c>
      <c r="AG288" s="7">
        <f>IF(I288="","",I288+AC288+AD288+AE288+N(K288)+N(L288)+N(M288)+N(Q288)+N(AF288))</f>
        <v/>
      </c>
      <c r="AH288" s="7">
        <f>IF(OR(R288="",S288=""),"",ROUND(R288*S288/100,0))</f>
        <v/>
      </c>
      <c r="AI288" s="7">
        <f>IF(OR(AG288="",R288=""),"",R288-N(AH288)-AG288)</f>
        <v/>
      </c>
      <c r="AJ288" s="6">
        <f>IF(AI288="","",ROUND(AI288/AG288*100,1))</f>
        <v/>
      </c>
    </row>
    <row r="289">
      <c r="A289" s="3" t="n"/>
      <c r="B289" s="3" t="n"/>
      <c r="C289" s="4" t="n"/>
      <c r="D289" s="3" t="n"/>
      <c r="E289" s="3" t="n"/>
      <c r="F289" s="3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3" t="n"/>
      <c r="P289" s="3" t="n"/>
      <c r="Q289" s="5" t="n"/>
      <c r="R289" s="5" t="n"/>
      <c r="S289" s="3" t="n"/>
      <c r="T289" s="3" t="n"/>
      <c r="U289" s="3" t="n"/>
      <c r="V289" s="3" t="n"/>
      <c r="W289" s="3" t="n"/>
      <c r="X289" s="3" t="n"/>
      <c r="Y289" s="3" t="n"/>
      <c r="Z289" s="6">
        <f>IF(F289="","",ROUND(F289/3.305785,1))</f>
        <v/>
      </c>
      <c r="AA289" s="6">
        <f>IF(OR(G289="",I289=""),"",ROUND(I289/G289*100,1))</f>
        <v/>
      </c>
      <c r="AB289" s="7">
        <f>IF(OR(Z289="",I289=""),"",ROUND(I289/Z289,0))</f>
        <v/>
      </c>
      <c r="AC289" s="7">
        <f>IF(I289="","",FLOOR(I289*IF(T289&lt;&gt;"",T289,IF(E289="농지",3,4))/100,10))</f>
        <v/>
      </c>
      <c r="AD289" s="7">
        <f>IF(I289="","",FLOOR(I289*IF(T289&lt;&gt;"",N(U289),0.2)/100,10))</f>
        <v/>
      </c>
      <c r="AE289" s="7">
        <f>IF(I289="","",FLOOR(I289*IF(T289&lt;&gt;"",N(V289),(IF(E289="농지",3,4)-2)*0.2)/100,10))</f>
        <v/>
      </c>
      <c r="AF289" s="7">
        <f>IF(N289="","",ROUND(N289*N(O289)/100*N(P289)/12,0))</f>
        <v/>
      </c>
      <c r="AG289" s="7">
        <f>IF(I289="","",I289+AC289+AD289+AE289+N(K289)+N(L289)+N(M289)+N(Q289)+N(AF289))</f>
        <v/>
      </c>
      <c r="AH289" s="7">
        <f>IF(OR(R289="",S289=""),"",ROUND(R289*S289/100,0))</f>
        <v/>
      </c>
      <c r="AI289" s="7">
        <f>IF(OR(AG289="",R289=""),"",R289-N(AH289)-AG289)</f>
        <v/>
      </c>
      <c r="AJ289" s="6">
        <f>IF(AI289="","",ROUND(AI289/AG289*100,1))</f>
        <v/>
      </c>
    </row>
    <row r="290">
      <c r="A290" s="3" t="n"/>
      <c r="B290" s="3" t="n"/>
      <c r="C290" s="4" t="n"/>
      <c r="D290" s="3" t="n"/>
      <c r="E290" s="3" t="n"/>
      <c r="F290" s="3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3" t="n"/>
      <c r="P290" s="3" t="n"/>
      <c r="Q290" s="5" t="n"/>
      <c r="R290" s="5" t="n"/>
      <c r="S290" s="3" t="n"/>
      <c r="T290" s="3" t="n"/>
      <c r="U290" s="3" t="n"/>
      <c r="V290" s="3" t="n"/>
      <c r="W290" s="3" t="n"/>
      <c r="X290" s="3" t="n"/>
      <c r="Y290" s="3" t="n"/>
      <c r="Z290" s="6">
        <f>IF(F290="","",ROUND(F290/3.305785,1))</f>
        <v/>
      </c>
      <c r="AA290" s="6">
        <f>IF(OR(G290="",I290=""),"",ROUND(I290/G290*100,1))</f>
        <v/>
      </c>
      <c r="AB290" s="7">
        <f>IF(OR(Z290="",I290=""),"",ROUND(I290/Z290,0))</f>
        <v/>
      </c>
      <c r="AC290" s="7">
        <f>IF(I290="","",FLOOR(I290*IF(T290&lt;&gt;"",T290,IF(E290="농지",3,4))/100,10))</f>
        <v/>
      </c>
      <c r="AD290" s="7">
        <f>IF(I290="","",FLOOR(I290*IF(T290&lt;&gt;"",N(U290),0.2)/100,10))</f>
        <v/>
      </c>
      <c r="AE290" s="7">
        <f>IF(I290="","",FLOOR(I290*IF(T290&lt;&gt;"",N(V290),(IF(E290="농지",3,4)-2)*0.2)/100,10))</f>
        <v/>
      </c>
      <c r="AF290" s="7">
        <f>IF(N290="","",ROUND(N290*N(O290)/100*N(P290)/12,0))</f>
        <v/>
      </c>
      <c r="AG290" s="7">
        <f>IF(I290="","",I290+AC290+AD290+AE290+N(K290)+N(L290)+N(M290)+N(Q290)+N(AF290))</f>
        <v/>
      </c>
      <c r="AH290" s="7">
        <f>IF(OR(R290="",S290=""),"",ROUND(R290*S290/100,0))</f>
        <v/>
      </c>
      <c r="AI290" s="7">
        <f>IF(OR(AG290="",R290=""),"",R290-N(AH290)-AG290)</f>
        <v/>
      </c>
      <c r="AJ290" s="6">
        <f>IF(AI290="","",ROUND(AI290/AG290*100,1))</f>
        <v/>
      </c>
    </row>
    <row r="291">
      <c r="A291" s="3" t="n"/>
      <c r="B291" s="3" t="n"/>
      <c r="C291" s="4" t="n"/>
      <c r="D291" s="3" t="n"/>
      <c r="E291" s="3" t="n"/>
      <c r="F291" s="3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3" t="n"/>
      <c r="P291" s="3" t="n"/>
      <c r="Q291" s="5" t="n"/>
      <c r="R291" s="5" t="n"/>
      <c r="S291" s="3" t="n"/>
      <c r="T291" s="3" t="n"/>
      <c r="U291" s="3" t="n"/>
      <c r="V291" s="3" t="n"/>
      <c r="W291" s="3" t="n"/>
      <c r="X291" s="3" t="n"/>
      <c r="Y291" s="3" t="n"/>
      <c r="Z291" s="6">
        <f>IF(F291="","",ROUND(F291/3.305785,1))</f>
        <v/>
      </c>
      <c r="AA291" s="6">
        <f>IF(OR(G291="",I291=""),"",ROUND(I291/G291*100,1))</f>
        <v/>
      </c>
      <c r="AB291" s="7">
        <f>IF(OR(Z291="",I291=""),"",ROUND(I291/Z291,0))</f>
        <v/>
      </c>
      <c r="AC291" s="7">
        <f>IF(I291="","",FLOOR(I291*IF(T291&lt;&gt;"",T291,IF(E291="농지",3,4))/100,10))</f>
        <v/>
      </c>
      <c r="AD291" s="7">
        <f>IF(I291="","",FLOOR(I291*IF(T291&lt;&gt;"",N(U291),0.2)/100,10))</f>
        <v/>
      </c>
      <c r="AE291" s="7">
        <f>IF(I291="","",FLOOR(I291*IF(T291&lt;&gt;"",N(V291),(IF(E291="농지",3,4)-2)*0.2)/100,10))</f>
        <v/>
      </c>
      <c r="AF291" s="7">
        <f>IF(N291="","",ROUND(N291*N(O291)/100*N(P291)/12,0))</f>
        <v/>
      </c>
      <c r="AG291" s="7">
        <f>IF(I291="","",I291+AC291+AD291+AE291+N(K291)+N(L291)+N(M291)+N(Q291)+N(AF291))</f>
        <v/>
      </c>
      <c r="AH291" s="7">
        <f>IF(OR(R291="",S291=""),"",ROUND(R291*S291/100,0))</f>
        <v/>
      </c>
      <c r="AI291" s="7">
        <f>IF(OR(AG291="",R291=""),"",R291-N(AH291)-AG291)</f>
        <v/>
      </c>
      <c r="AJ291" s="6">
        <f>IF(AI291="","",ROUND(AI291/AG291*100,1))</f>
        <v/>
      </c>
    </row>
    <row r="292">
      <c r="A292" s="3" t="n"/>
      <c r="B292" s="3" t="n"/>
      <c r="C292" s="4" t="n"/>
      <c r="D292" s="3" t="n"/>
      <c r="E292" s="3" t="n"/>
      <c r="F292" s="3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3" t="n"/>
      <c r="P292" s="3" t="n"/>
      <c r="Q292" s="5" t="n"/>
      <c r="R292" s="5" t="n"/>
      <c r="S292" s="3" t="n"/>
      <c r="T292" s="3" t="n"/>
      <c r="U292" s="3" t="n"/>
      <c r="V292" s="3" t="n"/>
      <c r="W292" s="3" t="n"/>
      <c r="X292" s="3" t="n"/>
      <c r="Y292" s="3" t="n"/>
      <c r="Z292" s="6">
        <f>IF(F292="","",ROUND(F292/3.305785,1))</f>
        <v/>
      </c>
      <c r="AA292" s="6">
        <f>IF(OR(G292="",I292=""),"",ROUND(I292/G292*100,1))</f>
        <v/>
      </c>
      <c r="AB292" s="7">
        <f>IF(OR(Z292="",I292=""),"",ROUND(I292/Z292,0))</f>
        <v/>
      </c>
      <c r="AC292" s="7">
        <f>IF(I292="","",FLOOR(I292*IF(T292&lt;&gt;"",T292,IF(E292="농지",3,4))/100,10))</f>
        <v/>
      </c>
      <c r="AD292" s="7">
        <f>IF(I292="","",FLOOR(I292*IF(T292&lt;&gt;"",N(U292),0.2)/100,10))</f>
        <v/>
      </c>
      <c r="AE292" s="7">
        <f>IF(I292="","",FLOOR(I292*IF(T292&lt;&gt;"",N(V292),(IF(E292="농지",3,4)-2)*0.2)/100,10))</f>
        <v/>
      </c>
      <c r="AF292" s="7">
        <f>IF(N292="","",ROUND(N292*N(O292)/100*N(P292)/12,0))</f>
        <v/>
      </c>
      <c r="AG292" s="7">
        <f>IF(I292="","",I292+AC292+AD292+AE292+N(K292)+N(L292)+N(M292)+N(Q292)+N(AF292))</f>
        <v/>
      </c>
      <c r="AH292" s="7">
        <f>IF(OR(R292="",S292=""),"",ROUND(R292*S292/100,0))</f>
        <v/>
      </c>
      <c r="AI292" s="7">
        <f>IF(OR(AG292="",R292=""),"",R292-N(AH292)-AG292)</f>
        <v/>
      </c>
      <c r="AJ292" s="6">
        <f>IF(AI292="","",ROUND(AI292/AG292*100,1))</f>
        <v/>
      </c>
    </row>
    <row r="293">
      <c r="A293" s="3" t="n"/>
      <c r="B293" s="3" t="n"/>
      <c r="C293" s="4" t="n"/>
      <c r="D293" s="3" t="n"/>
      <c r="E293" s="3" t="n"/>
      <c r="F293" s="3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3" t="n"/>
      <c r="P293" s="3" t="n"/>
      <c r="Q293" s="5" t="n"/>
      <c r="R293" s="5" t="n"/>
      <c r="S293" s="3" t="n"/>
      <c r="T293" s="3" t="n"/>
      <c r="U293" s="3" t="n"/>
      <c r="V293" s="3" t="n"/>
      <c r="W293" s="3" t="n"/>
      <c r="X293" s="3" t="n"/>
      <c r="Y293" s="3" t="n"/>
      <c r="Z293" s="6">
        <f>IF(F293="","",ROUND(F293/3.305785,1))</f>
        <v/>
      </c>
      <c r="AA293" s="6">
        <f>IF(OR(G293="",I293=""),"",ROUND(I293/G293*100,1))</f>
        <v/>
      </c>
      <c r="AB293" s="7">
        <f>IF(OR(Z293="",I293=""),"",ROUND(I293/Z293,0))</f>
        <v/>
      </c>
      <c r="AC293" s="7">
        <f>IF(I293="","",FLOOR(I293*IF(T293&lt;&gt;"",T293,IF(E293="농지",3,4))/100,10))</f>
        <v/>
      </c>
      <c r="AD293" s="7">
        <f>IF(I293="","",FLOOR(I293*IF(T293&lt;&gt;"",N(U293),0.2)/100,10))</f>
        <v/>
      </c>
      <c r="AE293" s="7">
        <f>IF(I293="","",FLOOR(I293*IF(T293&lt;&gt;"",N(V293),(IF(E293="농지",3,4)-2)*0.2)/100,10))</f>
        <v/>
      </c>
      <c r="AF293" s="7">
        <f>IF(N293="","",ROUND(N293*N(O293)/100*N(P293)/12,0))</f>
        <v/>
      </c>
      <c r="AG293" s="7">
        <f>IF(I293="","",I293+AC293+AD293+AE293+N(K293)+N(L293)+N(M293)+N(Q293)+N(AF293))</f>
        <v/>
      </c>
      <c r="AH293" s="7">
        <f>IF(OR(R293="",S293=""),"",ROUND(R293*S293/100,0))</f>
        <v/>
      </c>
      <c r="AI293" s="7">
        <f>IF(OR(AG293="",R293=""),"",R293-N(AH293)-AG293)</f>
        <v/>
      </c>
      <c r="AJ293" s="6">
        <f>IF(AI293="","",ROUND(AI293/AG293*100,1))</f>
        <v/>
      </c>
    </row>
    <row r="294">
      <c r="A294" s="3" t="n"/>
      <c r="B294" s="3" t="n"/>
      <c r="C294" s="4" t="n"/>
      <c r="D294" s="3" t="n"/>
      <c r="E294" s="3" t="n"/>
      <c r="F294" s="3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3" t="n"/>
      <c r="P294" s="3" t="n"/>
      <c r="Q294" s="5" t="n"/>
      <c r="R294" s="5" t="n"/>
      <c r="S294" s="3" t="n"/>
      <c r="T294" s="3" t="n"/>
      <c r="U294" s="3" t="n"/>
      <c r="V294" s="3" t="n"/>
      <c r="W294" s="3" t="n"/>
      <c r="X294" s="3" t="n"/>
      <c r="Y294" s="3" t="n"/>
      <c r="Z294" s="6">
        <f>IF(F294="","",ROUND(F294/3.305785,1))</f>
        <v/>
      </c>
      <c r="AA294" s="6">
        <f>IF(OR(G294="",I294=""),"",ROUND(I294/G294*100,1))</f>
        <v/>
      </c>
      <c r="AB294" s="7">
        <f>IF(OR(Z294="",I294=""),"",ROUND(I294/Z294,0))</f>
        <v/>
      </c>
      <c r="AC294" s="7">
        <f>IF(I294="","",FLOOR(I294*IF(T294&lt;&gt;"",T294,IF(E294="농지",3,4))/100,10))</f>
        <v/>
      </c>
      <c r="AD294" s="7">
        <f>IF(I294="","",FLOOR(I294*IF(T294&lt;&gt;"",N(U294),0.2)/100,10))</f>
        <v/>
      </c>
      <c r="AE294" s="7">
        <f>IF(I294="","",FLOOR(I294*IF(T294&lt;&gt;"",N(V294),(IF(E294="농지",3,4)-2)*0.2)/100,10))</f>
        <v/>
      </c>
      <c r="AF294" s="7">
        <f>IF(N294="","",ROUND(N294*N(O294)/100*N(P294)/12,0))</f>
        <v/>
      </c>
      <c r="AG294" s="7">
        <f>IF(I294="","",I294+AC294+AD294+AE294+N(K294)+N(L294)+N(M294)+N(Q294)+N(AF294))</f>
        <v/>
      </c>
      <c r="AH294" s="7">
        <f>IF(OR(R294="",S294=""),"",ROUND(R294*S294/100,0))</f>
        <v/>
      </c>
      <c r="AI294" s="7">
        <f>IF(OR(AG294="",R294=""),"",R294-N(AH294)-AG294)</f>
        <v/>
      </c>
      <c r="AJ294" s="6">
        <f>IF(AI294="","",ROUND(AI294/AG294*100,1))</f>
        <v/>
      </c>
    </row>
    <row r="295">
      <c r="A295" s="3" t="n"/>
      <c r="B295" s="3" t="n"/>
      <c r="C295" s="4" t="n"/>
      <c r="D295" s="3" t="n"/>
      <c r="E295" s="3" t="n"/>
      <c r="F295" s="3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3" t="n"/>
      <c r="P295" s="3" t="n"/>
      <c r="Q295" s="5" t="n"/>
      <c r="R295" s="5" t="n"/>
      <c r="S295" s="3" t="n"/>
      <c r="T295" s="3" t="n"/>
      <c r="U295" s="3" t="n"/>
      <c r="V295" s="3" t="n"/>
      <c r="W295" s="3" t="n"/>
      <c r="X295" s="3" t="n"/>
      <c r="Y295" s="3" t="n"/>
      <c r="Z295" s="6">
        <f>IF(F295="","",ROUND(F295/3.305785,1))</f>
        <v/>
      </c>
      <c r="AA295" s="6">
        <f>IF(OR(G295="",I295=""),"",ROUND(I295/G295*100,1))</f>
        <v/>
      </c>
      <c r="AB295" s="7">
        <f>IF(OR(Z295="",I295=""),"",ROUND(I295/Z295,0))</f>
        <v/>
      </c>
      <c r="AC295" s="7">
        <f>IF(I295="","",FLOOR(I295*IF(T295&lt;&gt;"",T295,IF(E295="농지",3,4))/100,10))</f>
        <v/>
      </c>
      <c r="AD295" s="7">
        <f>IF(I295="","",FLOOR(I295*IF(T295&lt;&gt;"",N(U295),0.2)/100,10))</f>
        <v/>
      </c>
      <c r="AE295" s="7">
        <f>IF(I295="","",FLOOR(I295*IF(T295&lt;&gt;"",N(V295),(IF(E295="농지",3,4)-2)*0.2)/100,10))</f>
        <v/>
      </c>
      <c r="AF295" s="7">
        <f>IF(N295="","",ROUND(N295*N(O295)/100*N(P295)/12,0))</f>
        <v/>
      </c>
      <c r="AG295" s="7">
        <f>IF(I295="","",I295+AC295+AD295+AE295+N(K295)+N(L295)+N(M295)+N(Q295)+N(AF295))</f>
        <v/>
      </c>
      <c r="AH295" s="7">
        <f>IF(OR(R295="",S295=""),"",ROUND(R295*S295/100,0))</f>
        <v/>
      </c>
      <c r="AI295" s="7">
        <f>IF(OR(AG295="",R295=""),"",R295-N(AH295)-AG295)</f>
        <v/>
      </c>
      <c r="AJ295" s="6">
        <f>IF(AI295="","",ROUND(AI295/AG295*100,1))</f>
        <v/>
      </c>
    </row>
    <row r="296">
      <c r="A296" s="3" t="n"/>
      <c r="B296" s="3" t="n"/>
      <c r="C296" s="4" t="n"/>
      <c r="D296" s="3" t="n"/>
      <c r="E296" s="3" t="n"/>
      <c r="F296" s="3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3" t="n"/>
      <c r="P296" s="3" t="n"/>
      <c r="Q296" s="5" t="n"/>
      <c r="R296" s="5" t="n"/>
      <c r="S296" s="3" t="n"/>
      <c r="T296" s="3" t="n"/>
      <c r="U296" s="3" t="n"/>
      <c r="V296" s="3" t="n"/>
      <c r="W296" s="3" t="n"/>
      <c r="X296" s="3" t="n"/>
      <c r="Y296" s="3" t="n"/>
      <c r="Z296" s="6">
        <f>IF(F296="","",ROUND(F296/3.305785,1))</f>
        <v/>
      </c>
      <c r="AA296" s="6">
        <f>IF(OR(G296="",I296=""),"",ROUND(I296/G296*100,1))</f>
        <v/>
      </c>
      <c r="AB296" s="7">
        <f>IF(OR(Z296="",I296=""),"",ROUND(I296/Z296,0))</f>
        <v/>
      </c>
      <c r="AC296" s="7">
        <f>IF(I296="","",FLOOR(I296*IF(T296&lt;&gt;"",T296,IF(E296="농지",3,4))/100,10))</f>
        <v/>
      </c>
      <c r="AD296" s="7">
        <f>IF(I296="","",FLOOR(I296*IF(T296&lt;&gt;"",N(U296),0.2)/100,10))</f>
        <v/>
      </c>
      <c r="AE296" s="7">
        <f>IF(I296="","",FLOOR(I296*IF(T296&lt;&gt;"",N(V296),(IF(E296="농지",3,4)-2)*0.2)/100,10))</f>
        <v/>
      </c>
      <c r="AF296" s="7">
        <f>IF(N296="","",ROUND(N296*N(O296)/100*N(P296)/12,0))</f>
        <v/>
      </c>
      <c r="AG296" s="7">
        <f>IF(I296="","",I296+AC296+AD296+AE296+N(K296)+N(L296)+N(M296)+N(Q296)+N(AF296))</f>
        <v/>
      </c>
      <c r="AH296" s="7">
        <f>IF(OR(R296="",S296=""),"",ROUND(R296*S296/100,0))</f>
        <v/>
      </c>
      <c r="AI296" s="7">
        <f>IF(OR(AG296="",R296=""),"",R296-N(AH296)-AG296)</f>
        <v/>
      </c>
      <c r="AJ296" s="6">
        <f>IF(AI296="","",ROUND(AI296/AG296*100,1))</f>
        <v/>
      </c>
    </row>
    <row r="297">
      <c r="A297" s="3" t="n"/>
      <c r="B297" s="3" t="n"/>
      <c r="C297" s="4" t="n"/>
      <c r="D297" s="3" t="n"/>
      <c r="E297" s="3" t="n"/>
      <c r="F297" s="3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3" t="n"/>
      <c r="P297" s="3" t="n"/>
      <c r="Q297" s="5" t="n"/>
      <c r="R297" s="5" t="n"/>
      <c r="S297" s="3" t="n"/>
      <c r="T297" s="3" t="n"/>
      <c r="U297" s="3" t="n"/>
      <c r="V297" s="3" t="n"/>
      <c r="W297" s="3" t="n"/>
      <c r="X297" s="3" t="n"/>
      <c r="Y297" s="3" t="n"/>
      <c r="Z297" s="6">
        <f>IF(F297="","",ROUND(F297/3.305785,1))</f>
        <v/>
      </c>
      <c r="AA297" s="6">
        <f>IF(OR(G297="",I297=""),"",ROUND(I297/G297*100,1))</f>
        <v/>
      </c>
      <c r="AB297" s="7">
        <f>IF(OR(Z297="",I297=""),"",ROUND(I297/Z297,0))</f>
        <v/>
      </c>
      <c r="AC297" s="7">
        <f>IF(I297="","",FLOOR(I297*IF(T297&lt;&gt;"",T297,IF(E297="농지",3,4))/100,10))</f>
        <v/>
      </c>
      <c r="AD297" s="7">
        <f>IF(I297="","",FLOOR(I297*IF(T297&lt;&gt;"",N(U297),0.2)/100,10))</f>
        <v/>
      </c>
      <c r="AE297" s="7">
        <f>IF(I297="","",FLOOR(I297*IF(T297&lt;&gt;"",N(V297),(IF(E297="농지",3,4)-2)*0.2)/100,10))</f>
        <v/>
      </c>
      <c r="AF297" s="7">
        <f>IF(N297="","",ROUND(N297*N(O297)/100*N(P297)/12,0))</f>
        <v/>
      </c>
      <c r="AG297" s="7">
        <f>IF(I297="","",I297+AC297+AD297+AE297+N(K297)+N(L297)+N(M297)+N(Q297)+N(AF297))</f>
        <v/>
      </c>
      <c r="AH297" s="7">
        <f>IF(OR(R297="",S297=""),"",ROUND(R297*S297/100,0))</f>
        <v/>
      </c>
      <c r="AI297" s="7">
        <f>IF(OR(AG297="",R297=""),"",R297-N(AH297)-AG297)</f>
        <v/>
      </c>
      <c r="AJ297" s="6">
        <f>IF(AI297="","",ROUND(AI297/AG297*100,1))</f>
        <v/>
      </c>
    </row>
    <row r="298">
      <c r="A298" s="3" t="n"/>
      <c r="B298" s="3" t="n"/>
      <c r="C298" s="4" t="n"/>
      <c r="D298" s="3" t="n"/>
      <c r="E298" s="3" t="n"/>
      <c r="F298" s="3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3" t="n"/>
      <c r="P298" s="3" t="n"/>
      <c r="Q298" s="5" t="n"/>
      <c r="R298" s="5" t="n"/>
      <c r="S298" s="3" t="n"/>
      <c r="T298" s="3" t="n"/>
      <c r="U298" s="3" t="n"/>
      <c r="V298" s="3" t="n"/>
      <c r="W298" s="3" t="n"/>
      <c r="X298" s="3" t="n"/>
      <c r="Y298" s="3" t="n"/>
      <c r="Z298" s="6">
        <f>IF(F298="","",ROUND(F298/3.305785,1))</f>
        <v/>
      </c>
      <c r="AA298" s="6">
        <f>IF(OR(G298="",I298=""),"",ROUND(I298/G298*100,1))</f>
        <v/>
      </c>
      <c r="AB298" s="7">
        <f>IF(OR(Z298="",I298=""),"",ROUND(I298/Z298,0))</f>
        <v/>
      </c>
      <c r="AC298" s="7">
        <f>IF(I298="","",FLOOR(I298*IF(T298&lt;&gt;"",T298,IF(E298="농지",3,4))/100,10))</f>
        <v/>
      </c>
      <c r="AD298" s="7">
        <f>IF(I298="","",FLOOR(I298*IF(T298&lt;&gt;"",N(U298),0.2)/100,10))</f>
        <v/>
      </c>
      <c r="AE298" s="7">
        <f>IF(I298="","",FLOOR(I298*IF(T298&lt;&gt;"",N(V298),(IF(E298="농지",3,4)-2)*0.2)/100,10))</f>
        <v/>
      </c>
      <c r="AF298" s="7">
        <f>IF(N298="","",ROUND(N298*N(O298)/100*N(P298)/12,0))</f>
        <v/>
      </c>
      <c r="AG298" s="7">
        <f>IF(I298="","",I298+AC298+AD298+AE298+N(K298)+N(L298)+N(M298)+N(Q298)+N(AF298))</f>
        <v/>
      </c>
      <c r="AH298" s="7">
        <f>IF(OR(R298="",S298=""),"",ROUND(R298*S298/100,0))</f>
        <v/>
      </c>
      <c r="AI298" s="7">
        <f>IF(OR(AG298="",R298=""),"",R298-N(AH298)-AG298)</f>
        <v/>
      </c>
      <c r="AJ298" s="6">
        <f>IF(AI298="","",ROUND(AI298/AG298*100,1))</f>
        <v/>
      </c>
    </row>
    <row r="299">
      <c r="A299" s="3" t="n"/>
      <c r="B299" s="3" t="n"/>
      <c r="C299" s="4" t="n"/>
      <c r="D299" s="3" t="n"/>
      <c r="E299" s="3" t="n"/>
      <c r="F299" s="3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3" t="n"/>
      <c r="P299" s="3" t="n"/>
      <c r="Q299" s="5" t="n"/>
      <c r="R299" s="5" t="n"/>
      <c r="S299" s="3" t="n"/>
      <c r="T299" s="3" t="n"/>
      <c r="U299" s="3" t="n"/>
      <c r="V299" s="3" t="n"/>
      <c r="W299" s="3" t="n"/>
      <c r="X299" s="3" t="n"/>
      <c r="Y299" s="3" t="n"/>
      <c r="Z299" s="6">
        <f>IF(F299="","",ROUND(F299/3.305785,1))</f>
        <v/>
      </c>
      <c r="AA299" s="6">
        <f>IF(OR(G299="",I299=""),"",ROUND(I299/G299*100,1))</f>
        <v/>
      </c>
      <c r="AB299" s="7">
        <f>IF(OR(Z299="",I299=""),"",ROUND(I299/Z299,0))</f>
        <v/>
      </c>
      <c r="AC299" s="7">
        <f>IF(I299="","",FLOOR(I299*IF(T299&lt;&gt;"",T299,IF(E299="농지",3,4))/100,10))</f>
        <v/>
      </c>
      <c r="AD299" s="7">
        <f>IF(I299="","",FLOOR(I299*IF(T299&lt;&gt;"",N(U299),0.2)/100,10))</f>
        <v/>
      </c>
      <c r="AE299" s="7">
        <f>IF(I299="","",FLOOR(I299*IF(T299&lt;&gt;"",N(V299),(IF(E299="농지",3,4)-2)*0.2)/100,10))</f>
        <v/>
      </c>
      <c r="AF299" s="7">
        <f>IF(N299="","",ROUND(N299*N(O299)/100*N(P299)/12,0))</f>
        <v/>
      </c>
      <c r="AG299" s="7">
        <f>IF(I299="","",I299+AC299+AD299+AE299+N(K299)+N(L299)+N(M299)+N(Q299)+N(AF299))</f>
        <v/>
      </c>
      <c r="AH299" s="7">
        <f>IF(OR(R299="",S299=""),"",ROUND(R299*S299/100,0))</f>
        <v/>
      </c>
      <c r="AI299" s="7">
        <f>IF(OR(AG299="",R299=""),"",R299-N(AH299)-AG299)</f>
        <v/>
      </c>
      <c r="AJ299" s="6">
        <f>IF(AI299="","",ROUND(AI299/AG299*100,1))</f>
        <v/>
      </c>
    </row>
    <row r="300">
      <c r="A300" s="3" t="n"/>
      <c r="B300" s="3" t="n"/>
      <c r="C300" s="4" t="n"/>
      <c r="D300" s="3" t="n"/>
      <c r="E300" s="3" t="n"/>
      <c r="F300" s="3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3" t="n"/>
      <c r="P300" s="3" t="n"/>
      <c r="Q300" s="5" t="n"/>
      <c r="R300" s="5" t="n"/>
      <c r="S300" s="3" t="n"/>
      <c r="T300" s="3" t="n"/>
      <c r="U300" s="3" t="n"/>
      <c r="V300" s="3" t="n"/>
      <c r="W300" s="3" t="n"/>
      <c r="X300" s="3" t="n"/>
      <c r="Y300" s="3" t="n"/>
      <c r="Z300" s="6">
        <f>IF(F300="","",ROUND(F300/3.305785,1))</f>
        <v/>
      </c>
      <c r="AA300" s="6">
        <f>IF(OR(G300="",I300=""),"",ROUND(I300/G300*100,1))</f>
        <v/>
      </c>
      <c r="AB300" s="7">
        <f>IF(OR(Z300="",I300=""),"",ROUND(I300/Z300,0))</f>
        <v/>
      </c>
      <c r="AC300" s="7">
        <f>IF(I300="","",FLOOR(I300*IF(T300&lt;&gt;"",T300,IF(E300="농지",3,4))/100,10))</f>
        <v/>
      </c>
      <c r="AD300" s="7">
        <f>IF(I300="","",FLOOR(I300*IF(T300&lt;&gt;"",N(U300),0.2)/100,10))</f>
        <v/>
      </c>
      <c r="AE300" s="7">
        <f>IF(I300="","",FLOOR(I300*IF(T300&lt;&gt;"",N(V300),(IF(E300="농지",3,4)-2)*0.2)/100,10))</f>
        <v/>
      </c>
      <c r="AF300" s="7">
        <f>IF(N300="","",ROUND(N300*N(O300)/100*N(P300)/12,0))</f>
        <v/>
      </c>
      <c r="AG300" s="7">
        <f>IF(I300="","",I300+AC300+AD300+AE300+N(K300)+N(L300)+N(M300)+N(Q300)+N(AF300))</f>
        <v/>
      </c>
      <c r="AH300" s="7">
        <f>IF(OR(R300="",S300=""),"",ROUND(R300*S300/100,0))</f>
        <v/>
      </c>
      <c r="AI300" s="7">
        <f>IF(OR(AG300="",R300=""),"",R300-N(AH300)-AG300)</f>
        <v/>
      </c>
      <c r="AJ300" s="6">
        <f>IF(AI300="","",ROUND(AI300/AG300*100,1))</f>
        <v/>
      </c>
    </row>
    <row r="301">
      <c r="A301" s="3" t="n"/>
      <c r="B301" s="3" t="n"/>
      <c r="C301" s="4" t="n"/>
      <c r="D301" s="3" t="n"/>
      <c r="E301" s="3" t="n"/>
      <c r="F301" s="3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3" t="n"/>
      <c r="P301" s="3" t="n"/>
      <c r="Q301" s="5" t="n"/>
      <c r="R301" s="5" t="n"/>
      <c r="S301" s="3" t="n"/>
      <c r="T301" s="3" t="n"/>
      <c r="U301" s="3" t="n"/>
      <c r="V301" s="3" t="n"/>
      <c r="W301" s="3" t="n"/>
      <c r="X301" s="3" t="n"/>
      <c r="Y301" s="3" t="n"/>
      <c r="Z301" s="6">
        <f>IF(F301="","",ROUND(F301/3.305785,1))</f>
        <v/>
      </c>
      <c r="AA301" s="6">
        <f>IF(OR(G301="",I301=""),"",ROUND(I301/G301*100,1))</f>
        <v/>
      </c>
      <c r="AB301" s="7">
        <f>IF(OR(Z301="",I301=""),"",ROUND(I301/Z301,0))</f>
        <v/>
      </c>
      <c r="AC301" s="7">
        <f>IF(I301="","",FLOOR(I301*IF(T301&lt;&gt;"",T301,IF(E301="농지",3,4))/100,10))</f>
        <v/>
      </c>
      <c r="AD301" s="7">
        <f>IF(I301="","",FLOOR(I301*IF(T301&lt;&gt;"",N(U301),0.2)/100,10))</f>
        <v/>
      </c>
      <c r="AE301" s="7">
        <f>IF(I301="","",FLOOR(I301*IF(T301&lt;&gt;"",N(V301),(IF(E301="농지",3,4)-2)*0.2)/100,10))</f>
        <v/>
      </c>
      <c r="AF301" s="7">
        <f>IF(N301="","",ROUND(N301*N(O301)/100*N(P301)/12,0))</f>
        <v/>
      </c>
      <c r="AG301" s="7">
        <f>IF(I301="","",I301+AC301+AD301+AE301+N(K301)+N(L301)+N(M301)+N(Q301)+N(AF301))</f>
        <v/>
      </c>
      <c r="AH301" s="7">
        <f>IF(OR(R301="",S301=""),"",ROUND(R301*S301/100,0))</f>
        <v/>
      </c>
      <c r="AI301" s="7">
        <f>IF(OR(AG301="",R301=""),"",R301-N(AH301)-AG301)</f>
        <v/>
      </c>
      <c r="AJ301" s="6">
        <f>IF(AI301="","",ROUND(AI301/AG301*100,1))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1:AJ301"/>
  <dataValidations count="2">
    <dataValidation sqref="E2:E301" showDropDown="0" showInputMessage="0" showErrorMessage="0" allowBlank="1" type="list">
      <formula1>"농지,농지외"</formula1>
    </dataValidation>
    <dataValidation sqref="X2:X301" showDropDown="0" showInputMessage="0" showErrorMessage="0" allowBlank="1" type="list">
      <formula1>"입찰,보류,패스"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토지 경매 임장 노트 — 누적 보관용 엑셀 (Land Master Pro / land.free336.com)</t>
        </is>
      </c>
    </row>
    <row r="2">
      <c r="A2" t="inlineStr"/>
    </row>
    <row r="3">
      <c r="A3" s="9" t="inlineStr">
        <is>
          <t>사용법</t>
        </is>
      </c>
    </row>
    <row r="4">
      <c r="A4" t="inlineStr">
        <is>
          <t>1. 노란 칸에만 입력하세요. 초록 칸은 수식이라 잠겨 있습니다(시트 보호, 비밀번호 없음).</t>
        </is>
      </c>
    </row>
    <row r="5">
      <c r="A5" t="inlineStr">
        <is>
          <t>2. 한 줄이 한 물건입니다. 새 물건은 다음 빈 줄에 쌓아 가세요. 지우지 않으면 계속 누적됩니다.</t>
        </is>
      </c>
    </row>
    <row r="6">
      <c r="A6" t="inlineStr">
        <is>
          <t>3. 금액은 모두 원 단위 전체 숫자로 입력하세요.</t>
        </is>
      </c>
    </row>
    <row r="7">
      <c r="A7" t="inlineStr">
        <is>
          <t>4. 현장 체크리스트·사진 메모는 같이 받은 HTML 임장 노트(인쇄용)를 쓰고, 최종 수치만 이 엑셀에 옮겨 적으면 됩니다.</t>
        </is>
      </c>
    </row>
    <row r="8">
      <c r="A8" t="inlineStr"/>
    </row>
    <row r="9">
      <c r="A9" s="9" t="inlineStr">
        <is>
          <t>세율 근거(2026-10 확인, 개정될 수 있음)</t>
        </is>
      </c>
    </row>
    <row r="10">
      <c r="A10" t="inlineStr">
        <is>
          <t>- 취득세: 지방세법 제11조 제1항 제7호 — 유상취득 농지 3%, 농지 외 4%</t>
        </is>
      </c>
    </row>
    <row r="11">
      <c r="A11" t="inlineStr">
        <is>
          <t>- 농어촌특별세 0.2%, 지방교육세 (표준세율−2%)×20% (농지 0.2%, 농지 외 0.4%)</t>
        </is>
      </c>
    </row>
    <row r="12">
      <c r="A12" t="inlineStr">
        <is>
          <t>- 감면(자경농지 등)은 자동 계산하지 않습니다. 해당되면 '직접입력' 세 칸에 최종 세율을 적으세요(취득세율을 적으면 농특세·교육세 빈칸은 0%로 계산).</t>
        </is>
      </c>
    </row>
    <row r="13">
      <c r="A13" t="inlineStr">
        <is>
          <t>- 양도소득세는 반영하지 않은 '세전' 수익입니다. 중개보수율·법무비는 사안별로 다르므로 직접 입력합니다.</t>
        </is>
      </c>
    </row>
    <row r="14">
      <c r="A14" t="inlineStr"/>
    </row>
    <row r="15">
      <c r="A15" t="inlineStr">
        <is>
          <t>이 파일은 학습·기록용 도구이며 법률·세무·투자 자문이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2026-10-28T23:38:30Z</dcterms:created>
  <dcterms:modified xmlns:dcterms="http://purl.org/dc/terms/" xmlns:xsi="http://www.w3.org/2001/XMLSchema-instance" xsi:type="dcterms:W3CDTF">2026-10-28T23:38:31Z</dcterms:modified>
</cp:coreProperties>
</file>